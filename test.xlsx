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tos" sheetId="1" r:id="rId1"/>
    <sheet name="Control Doc Pendiente" sheetId="2" r:id="rId2"/>
    <sheet name="Rendimiento Choferes" sheetId="3" r:id="rId3"/>
    <sheet name="Resumen Clientes" sheetId="4" r:id="rId4"/>
    <sheet name="Control Facturas Emitid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81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  <col min="8" max="8" width="17.83203125" customWidth="1"/>
    <col min="9" max="9" width="17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7.83203125" customWidth="1"/>
    <col min="15" max="15" width="17.83203125" customWidth="1"/>
    <col min="16" max="16" width="17.83203125" customWidth="1"/>
    <col min="17" max="17" width="17.83203125" customWidth="1"/>
    <col min="18" max="18" width="17.83203125" customWidth="1"/>
    <col min="19" max="19" width="17.83203125" customWidth="1"/>
    <col min="20" max="20" width="17.83203125" customWidth="1"/>
    <col min="21" max="21" width="17.83203125" customWidth="1"/>
    <col min="22" max="22" width="17.83203125" customWidth="1"/>
    <col min="23" max="23" width="17.83203125" customWidth="1"/>
    <col min="24" max="24" width="17.83203125" customWidth="1"/>
    <col min="25" max="25" width="17.83203125" customWidth="1"/>
    <col min="26" max="26" width="17.83203125" customWidth="1"/>
    <col min="27" max="27" width="17.83203125" customWidth="1"/>
    <col min="28" max="28" width="17.83203125" customWidth="1"/>
    <col min="29" max="29" width="17.83203125" customWidth="1"/>
    <col min="30" max="30" width="17.83203125" customWidth="1"/>
    <col min="31" max="31" width="17.83203125" customWidth="1"/>
    <col min="32" max="32" width="17.83203125" customWidth="1"/>
    <col min="33" max="33" width="17.83203125" customWidth="1"/>
    <col min="34" max="34" width="17.83203125" customWidth="1"/>
    <col min="35" max="35" width="17.83203125" customWidth="1"/>
    <col min="36" max="36" width="17.83203125" customWidth="1"/>
    <col min="37" max="37" width="17.83203125" customWidth="1"/>
    <col min="38" max="38" width="17.83203125" customWidth="1"/>
    <col min="39" max="39" width="17.83203125" customWidth="1"/>
    <col min="40" max="40" width="17.83203125" customWidth="1"/>
    <col min="41" max="41" width="17.83203125" customWidth="1"/>
    <col min="42" max="42" width="17.83203125" customWidth="1"/>
    <col min="43" max="43" width="17.83203125" customWidth="1"/>
    <col min="44" max="44" width="17.83203125" customWidth="1"/>
    <col min="45" max="45" width="17.83203125" customWidth="1"/>
    <col min="46" max="46" width="17.83203125" customWidth="1"/>
    <col min="47" max="47" width="17.83203125" customWidth="1"/>
    <col min="48" max="48" width="17.83203125" customWidth="1"/>
    <col min="49" max="49" width="17.83203125" customWidth="1"/>
    <col min="50" max="50" width="17.83203125" customWidth="1"/>
    <col min="51" max="51" width="17.83203125" customWidth="1"/>
    <col min="52" max="52" width="17.83203125" customWidth="1"/>
    <col min="53" max="53" width="17.83203125" customWidth="1"/>
    <col min="54" max="54" width="17.83203125" customWidth="1"/>
    <col min="55" max="55" width="17.83203125" customWidth="1"/>
    <col min="56" max="56" width="17.83203125" customWidth="1"/>
    <col min="57" max="57" width="17.83203125" customWidth="1"/>
    <col min="58" max="58" width="17.83203125" customWidth="1"/>
    <col min="59" max="59" width="17.83203125" customWidth="1"/>
    <col min="60" max="60" width="17.83203125" customWidth="1"/>
    <col min="61" max="61" width="17.83203125" customWidth="1"/>
    <col min="62" max="62" width="17.83203125" customWidth="1"/>
    <col min="63" max="63" width="17.83203125" customWidth="1"/>
    <col min="64" max="64" width="17.83203125" customWidth="1"/>
    <col min="65" max="65" width="17.83203125" customWidth="1"/>
    <col min="66" max="66" width="17.83203125" customWidth="1"/>
    <col min="67" max="67" width="17.83203125" customWidth="1"/>
    <col min="68" max="68" width="17.83203125" customWidth="1"/>
    <col min="69" max="69" width="17.83203125" customWidth="1"/>
  </cols>
  <sheetData>
    <row r="1">
      <c r="A1" t="str">
        <v>1. DATOS GENERALES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2. TRANSPORTE Y CHOFER</v>
      </c>
      <c r="H1" t="str">
        <v/>
      </c>
      <c r="I1" t="str">
        <v/>
      </c>
      <c r="J1" t="str">
        <v/>
      </c>
      <c r="K1" t="str">
        <v/>
      </c>
      <c r="L1" t="str">
        <v>3. CLIENTE Y REMITENTE</v>
      </c>
      <c r="M1" t="str">
        <v/>
      </c>
      <c r="N1" t="str">
        <v/>
      </c>
      <c r="O1" t="str">
        <v/>
      </c>
      <c r="P1" t="str">
        <v>4. RUTA Y PRODUCTO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5. REMITOS Y TONELADAS</v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>6. FACTURACIÓN Y VENTAS</v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>7. LIQUIDACIÓN FLETEROS</v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>8. RENTABILIDAD BARALE</v>
      </c>
      <c r="BA1" t="str">
        <v/>
      </c>
      <c r="BB1" t="str">
        <v/>
      </c>
      <c r="BC1" t="str">
        <v>9. INFO TANQUES</v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>10. COMPRA PRODUC. TRANSPORTAR</v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</row>
    <row r="2">
      <c r="A2" t="str">
        <v>ID</v>
      </c>
      <c r="B2" t="str">
        <v>Ejercicio</v>
      </c>
      <c r="C2" t="str">
        <v>Mes</v>
      </c>
      <c r="D2" t="str">
        <v>Fecha Liqui Fleteros</v>
      </c>
      <c r="E2" t="str">
        <v>Mes Operativo</v>
      </c>
      <c r="F2" t="str">
        <v>Fecha Orden</v>
      </c>
      <c r="G2" t="str">
        <v>Modalidad</v>
      </c>
      <c r="H2" t="str">
        <v>Transporte</v>
      </c>
      <c r="I2" t="str">
        <v>Chofer</v>
      </c>
      <c r="J2" t="str">
        <v>Cód Chofer</v>
      </c>
      <c r="K2" t="str">
        <v>Tipo Viaje</v>
      </c>
      <c r="L2" t="str">
        <v>Cliente Contrata</v>
      </c>
      <c r="M2" t="str">
        <v>Cód Cliente</v>
      </c>
      <c r="N2" t="str">
        <v>Empresa Remitente</v>
      </c>
      <c r="O2" t="str">
        <v>Codi Pro CM</v>
      </c>
      <c r="P2" t="str">
        <v>Pcia Origen</v>
      </c>
      <c r="Q2" t="str">
        <v>Origen</v>
      </c>
      <c r="R2" t="str">
        <v>Vículo Viaje</v>
      </c>
      <c r="S2" t="str">
        <v>Destino</v>
      </c>
      <c r="T2" t="str">
        <v>Localidad Destino</v>
      </c>
      <c r="U2" t="str">
        <v>Tipo Producto</v>
      </c>
      <c r="V2" t="str">
        <v>Producto</v>
      </c>
      <c r="W2" t="str">
        <v>Km Recorrido al Punto Carga</v>
      </c>
      <c r="X2" t="str">
        <v>Km Recorrido al Destino Mercaderia</v>
      </c>
      <c r="Y2" t="str">
        <v>Total Km</v>
      </c>
      <c r="Z2" t="str">
        <v>Remito Remitente</v>
      </c>
      <c r="AA2" t="str">
        <v>Remito Juan y Miguel</v>
      </c>
      <c r="AB2" t="str">
        <v>Fecha Carga</v>
      </c>
      <c r="AC2" t="str">
        <v>Fecha Descarga</v>
      </c>
      <c r="AD2" t="str">
        <v>Tn Cargadas</v>
      </c>
      <c r="AE2" t="str">
        <v>Factor Corrección</v>
      </c>
      <c r="AF2" t="str">
        <v>Kgs Aforado</v>
      </c>
      <c r="AG2" t="str">
        <v>Kgs Destino</v>
      </c>
      <c r="AH2" t="str">
        <v>Dif</v>
      </c>
      <c r="AI2" t="str">
        <v>Tarifa Tn/Km</v>
      </c>
      <c r="AJ2" t="str">
        <v>Factura BSA</v>
      </c>
      <c r="AK2" t="str">
        <v>Fecha Factura</v>
      </c>
      <c r="AL2" t="str">
        <v>Fecha Proforma / OC</v>
      </c>
      <c r="AM2" t="str">
        <v>Nro OC</v>
      </c>
      <c r="AN2" t="str">
        <v>Tn Facturadas</v>
      </c>
      <c r="AO2" t="str">
        <v>Tarifa ($/Tn)</v>
      </c>
      <c r="AP2" t="str">
        <v>Neto Gravado (NG)</v>
      </c>
      <c r="AQ2" t="str">
        <v>IVA 21%</v>
      </c>
      <c r="AR2" t="str">
        <v>Total Facturado c/IVA</v>
      </c>
      <c r="AS2" t="str">
        <v>Coe Comisión</v>
      </c>
      <c r="AT2" t="str">
        <v>Tn Liq Fletero</v>
      </c>
      <c r="AU2" t="str">
        <v>Tarifa Fletero ($/Tn)</v>
      </c>
      <c r="AV2" t="str">
        <v>Tarifa Fletero C/IVA</v>
      </c>
      <c r="AW2" t="str">
        <v>Debe Flete</v>
      </c>
      <c r="AX2" t="str">
        <v>Costo Flete (Haber)</v>
      </c>
      <c r="AY2" t="str">
        <v>Saldo Flete</v>
      </c>
      <c r="AZ2" t="str">
        <v>Margen Neto ($)</v>
      </c>
      <c r="BA2" t="str">
        <v>Margen %</v>
      </c>
      <c r="BB2" t="str">
        <v>Estado Factura</v>
      </c>
      <c r="BC2" t="str">
        <v>Peaje</v>
      </c>
      <c r="BD2" t="str">
        <v>Precio Km Tanque</v>
      </c>
      <c r="BE2" t="str">
        <v>Valor Viaje Aforado 27 Tns</v>
      </c>
      <c r="BF2" t="str">
        <v>Km Liquidados Atanor / Tanque</v>
      </c>
      <c r="BG2" t="str">
        <v>$ Km Cobrado / Barale - Atanor / Tanque</v>
      </c>
      <c r="BH2" t="str">
        <v>Km Liquidados Barale / Pagado Fle</v>
      </c>
      <c r="BI2" t="str">
        <v>Dif Km / Tanque</v>
      </c>
      <c r="BJ2" t="str">
        <v>$ Km Pagado Barale - Fletero</v>
      </c>
      <c r="BK2" t="str">
        <v>Prove Fac A</v>
      </c>
      <c r="BL2" t="str">
        <v>Precio Unit Compra</v>
      </c>
      <c r="BM2" t="str">
        <v>Precio Compra Minerales</v>
      </c>
      <c r="BN2" t="str">
        <v>Total Comprar C/IVA</v>
      </c>
      <c r="BO2" t="str">
        <v>Importe Fac Proveedor</v>
      </c>
      <c r="BP2" t="str">
        <v>Dif Valor Compra Devengada y Fac</v>
      </c>
      <c r="BQ2" t="str">
        <v>Ingreso Neto Servi (Fac-Cpra)</v>
      </c>
    </row>
    <row r="3">
      <c r="A3" t="str">
        <v>TRP-001</v>
      </c>
      <c r="B3">
        <v>2026</v>
      </c>
      <c r="C3">
        <v>8</v>
      </c>
      <c r="D3" t="str">
        <v>ago-26</v>
      </c>
      <c r="E3" t="str">
        <v>ago-26</v>
      </c>
      <c r="F3" t="str">
        <v>01/08/2026</v>
      </c>
      <c r="G3" t="str">
        <v>Propio</v>
      </c>
      <c r="H3" t="str">
        <v>JUAN y MIGUEL</v>
      </c>
      <c r="I3" t="str">
        <v>Ruben Martin</v>
      </c>
      <c r="J3" t="str">
        <v>10</v>
      </c>
      <c r="K3" t="str">
        <v>1</v>
      </c>
      <c r="L3" t="str">
        <v>ALACAL SRL</v>
      </c>
      <c r="M3" t="str">
        <v>1690</v>
      </c>
      <c r="N3" t="str">
        <v>GRUPO A SA</v>
      </c>
      <c r="O3" t="str">
        <v>209</v>
      </c>
      <c r="P3" t="str">
        <v>Cordoba</v>
      </c>
      <c r="Q3" t="str">
        <v>Rio Cuarto</v>
      </c>
      <c r="R3" t="str">
        <v>-</v>
      </c>
      <c r="S3" t="str">
        <v>ITALIANOS SA</v>
      </c>
      <c r="T3" t="str">
        <v>San Luis</v>
      </c>
      <c r="U3" t="str">
        <v>Cereales</v>
      </c>
      <c r="V3" t="str">
        <v>Desechos de Maiz</v>
      </c>
      <c r="W3">
        <v>0</v>
      </c>
      <c r="X3">
        <v>0</v>
      </c>
      <c r="Y3">
        <f>W3+X3</f>
        <v>0</v>
      </c>
      <c r="Z3" t="str">
        <v>2027-060333</v>
      </c>
      <c r="AA3" t="str">
        <v>106918</v>
      </c>
      <c r="AB3" t="str">
        <v>01/08/2026</v>
      </c>
      <c r="AC3" t="str">
        <v>02/08/2026</v>
      </c>
      <c r="AD3">
        <v>31.3</v>
      </c>
      <c r="AE3" t="str">
        <v>-</v>
      </c>
      <c r="AF3">
        <v>0</v>
      </c>
      <c r="AG3">
        <v>0</v>
      </c>
      <c r="AH3">
        <f>AG3-AF3</f>
        <v>0</v>
      </c>
      <c r="AI3">
        <v>0</v>
      </c>
      <c r="AJ3" t="str">
        <v>12-5227</v>
      </c>
      <c r="AK3" t="str">
        <v>10/08/2026</v>
      </c>
      <c r="AL3" t="str">
        <v>-</v>
      </c>
      <c r="AM3" t="str">
        <v>-</v>
      </c>
      <c r="AN3">
        <v>31.3</v>
      </c>
      <c r="AO3">
        <v>1650</v>
      </c>
      <c r="AP3">
        <f>AN3*AO3</f>
        <v>51645</v>
      </c>
      <c r="AQ3">
        <f>AP3*0.21</f>
        <v>10845.45</v>
      </c>
      <c r="AR3">
        <f>AP3+AQ3</f>
        <v>62490.45</v>
      </c>
      <c r="AS3">
        <v>1</v>
      </c>
      <c r="AT3">
        <v>0</v>
      </c>
      <c r="AU3">
        <v>0</v>
      </c>
      <c r="AV3">
        <f>AU3*1.21</f>
        <v>0</v>
      </c>
      <c r="AW3">
        <v>0</v>
      </c>
      <c r="AX3">
        <f>AT3*AU3</f>
        <v>0</v>
      </c>
      <c r="AY3">
        <f>AX3-AW3</f>
        <v>0</v>
      </c>
      <c r="AZ3">
        <f>AP3-AX3</f>
        <v>51645</v>
      </c>
      <c r="BA3">
        <f>IF(AP3&gt;0,AZ3/AP3,0)</f>
        <v>1</v>
      </c>
      <c r="BB3" t="str">
        <v>Facturado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f>BF3-BH3</f>
        <v>0</v>
      </c>
      <c r="BJ3">
        <v>0</v>
      </c>
      <c r="BK3" t="str">
        <v>-</v>
      </c>
      <c r="BL3">
        <v>0</v>
      </c>
      <c r="BM3">
        <v>0</v>
      </c>
      <c r="BN3">
        <v>0</v>
      </c>
      <c r="BO3">
        <v>0</v>
      </c>
      <c r="BP3">
        <f>BO3-BN3</f>
        <v>0</v>
      </c>
      <c r="BQ3">
        <f>AP3-BO3</f>
        <v>51645</v>
      </c>
    </row>
    <row r="4">
      <c r="A4" t="str">
        <v>TRP-002</v>
      </c>
      <c r="B4">
        <v>2026</v>
      </c>
      <c r="C4">
        <v>8</v>
      </c>
      <c r="D4" t="str">
        <v>ago-26</v>
      </c>
      <c r="E4" t="str">
        <v>ago-26</v>
      </c>
      <c r="F4" t="str">
        <v>01/08/2026</v>
      </c>
      <c r="G4" t="str">
        <v>Fletero</v>
      </c>
      <c r="H4" t="str">
        <v>Ruben Eduardo</v>
      </c>
      <c r="I4" t="str">
        <v>Moyano Esteban</v>
      </c>
      <c r="J4" t="str">
        <v>401</v>
      </c>
      <c r="K4" t="str">
        <v>1</v>
      </c>
      <c r="L4" t="str">
        <v>ALACAL SRL</v>
      </c>
      <c r="M4" t="str">
        <v>1690</v>
      </c>
      <c r="N4" t="str">
        <v>GRUPO A SA</v>
      </c>
      <c r="O4" t="str">
        <v>209</v>
      </c>
      <c r="P4" t="str">
        <v>Cordoba</v>
      </c>
      <c r="Q4" t="str">
        <v>Rio Cuarto</v>
      </c>
      <c r="R4" t="str">
        <v>-</v>
      </c>
      <c r="S4" t="str">
        <v>ITALIANOS SA</v>
      </c>
      <c r="T4" t="str">
        <v>San Luis</v>
      </c>
      <c r="U4" t="str">
        <v>Cereales</v>
      </c>
      <c r="V4" t="str">
        <v>Desechos de Maiz</v>
      </c>
      <c r="W4">
        <v>0</v>
      </c>
      <c r="X4">
        <v>0</v>
      </c>
      <c r="Y4">
        <f>W4+X4</f>
        <v>0</v>
      </c>
      <c r="Z4" t="str">
        <v>2024-050257</v>
      </c>
      <c r="AA4" t="str">
        <v>107081</v>
      </c>
      <c r="AB4" t="str">
        <v>01/08/2026</v>
      </c>
      <c r="AC4" t="str">
        <v>02/08/2026</v>
      </c>
      <c r="AD4">
        <v>36.8</v>
      </c>
      <c r="AE4" t="str">
        <v>-</v>
      </c>
      <c r="AF4">
        <v>0</v>
      </c>
      <c r="AG4">
        <v>0</v>
      </c>
      <c r="AH4">
        <f>AG4-AF4</f>
        <v>0</v>
      </c>
      <c r="AI4">
        <v>0</v>
      </c>
      <c r="AJ4" t="str">
        <v>12-5227</v>
      </c>
      <c r="AK4" t="str">
        <v>10/08/2026</v>
      </c>
      <c r="AL4" t="str">
        <v>-</v>
      </c>
      <c r="AM4" t="str">
        <v>-</v>
      </c>
      <c r="AN4">
        <v>36.8</v>
      </c>
      <c r="AO4">
        <v>1650</v>
      </c>
      <c r="AP4">
        <f>AN4*AO4</f>
        <v>60720</v>
      </c>
      <c r="AQ4">
        <f>AP4*0.21</f>
        <v>12751.2</v>
      </c>
      <c r="AR4">
        <f>AP4+AQ4</f>
        <v>73471.2</v>
      </c>
      <c r="AS4">
        <v>0.27</v>
      </c>
      <c r="AT4">
        <v>36.8</v>
      </c>
      <c r="AU4">
        <v>1210</v>
      </c>
      <c r="AV4">
        <f>AU4*1.21</f>
        <v>1464.1</v>
      </c>
      <c r="AW4">
        <v>0</v>
      </c>
      <c r="AX4">
        <f>AT4*AU4</f>
        <v>44528</v>
      </c>
      <c r="AY4">
        <f>AX4-AW4</f>
        <v>0</v>
      </c>
      <c r="AZ4">
        <f>AP4-AX4</f>
        <v>16192</v>
      </c>
      <c r="BA4">
        <f>IF(AP4&gt;0,AZ4/AP4,0)</f>
        <v>0.27</v>
      </c>
      <c r="BB4" t="str">
        <v>Facturado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f>BF4-BH4</f>
        <v>0</v>
      </c>
      <c r="BJ4">
        <v>0</v>
      </c>
      <c r="BK4" t="str">
        <v>-</v>
      </c>
      <c r="BL4">
        <v>0</v>
      </c>
      <c r="BM4">
        <v>0</v>
      </c>
      <c r="BN4">
        <v>0</v>
      </c>
      <c r="BO4">
        <v>0</v>
      </c>
      <c r="BP4">
        <f>BO4-BN4</f>
        <v>0</v>
      </c>
      <c r="BQ4">
        <f>AP4-BO4</f>
        <v>16192</v>
      </c>
    </row>
    <row r="5">
      <c r="A5" t="str">
        <v>TRP-003</v>
      </c>
      <c r="B5">
        <v>2026</v>
      </c>
      <c r="C5">
        <v>8</v>
      </c>
      <c r="D5" t="str">
        <v>ago-26</v>
      </c>
      <c r="E5" t="str">
        <v>ago-26</v>
      </c>
      <c r="F5" t="str">
        <v>03/08/2026</v>
      </c>
      <c r="G5" t="str">
        <v>Propio</v>
      </c>
      <c r="H5" t="str">
        <v>JUAN y MIGUEL</v>
      </c>
      <c r="I5" t="str">
        <v>Tosco</v>
      </c>
      <c r="J5" t="str">
        <v>4</v>
      </c>
      <c r="K5" t="str">
        <v>1</v>
      </c>
      <c r="L5" t="str">
        <v>RONATA</v>
      </c>
      <c r="M5" t="str">
        <v>1001</v>
      </c>
      <c r="N5" t="str">
        <v>ABIC</v>
      </c>
      <c r="O5" t="str">
        <v>209</v>
      </c>
      <c r="P5" t="str">
        <v>San Luis</v>
      </c>
      <c r="Q5" t="str">
        <v>Balde</v>
      </c>
      <c r="R5" t="str">
        <v>-</v>
      </c>
      <c r="S5" t="str">
        <v>RONATA</v>
      </c>
      <c r="T5" t="str">
        <v>Rio Tercero</v>
      </c>
      <c r="U5" t="str">
        <v>Sal</v>
      </c>
      <c r="V5" t="str">
        <v>Sal</v>
      </c>
      <c r="W5">
        <v>389</v>
      </c>
      <c r="X5">
        <v>389</v>
      </c>
      <c r="Y5">
        <f>W5+X5</f>
        <v>778</v>
      </c>
      <c r="Z5" t="str">
        <v>1324</v>
      </c>
      <c r="AA5" t="str">
        <v>107056</v>
      </c>
      <c r="AB5" t="str">
        <v>03/08/2026</v>
      </c>
      <c r="AC5" t="str">
        <v>04/08/2026</v>
      </c>
      <c r="AD5">
        <v>34.38</v>
      </c>
      <c r="AE5" t="str">
        <v>-</v>
      </c>
      <c r="AF5">
        <v>0</v>
      </c>
      <c r="AG5">
        <v>0</v>
      </c>
      <c r="AH5">
        <f>AG5-AF5</f>
        <v>0</v>
      </c>
      <c r="AI5">
        <v>0</v>
      </c>
      <c r="AJ5" t="str">
        <v>0012-00887</v>
      </c>
      <c r="AK5" t="str">
        <v>10/08/2026</v>
      </c>
      <c r="AL5" t="str">
        <v>-</v>
      </c>
      <c r="AM5" t="str">
        <v>O/C 4500105259</v>
      </c>
      <c r="AN5">
        <v>34.38</v>
      </c>
      <c r="AO5">
        <v>4254.87</v>
      </c>
      <c r="AP5">
        <f>AN5*AO5</f>
        <v>146282.5</v>
      </c>
      <c r="AQ5">
        <f>AP5*0.21</f>
        <v>30719.32</v>
      </c>
      <c r="AR5">
        <f>AP5+AQ5</f>
        <v>177001.82</v>
      </c>
      <c r="AS5">
        <v>1</v>
      </c>
      <c r="AT5">
        <v>0</v>
      </c>
      <c r="AU5">
        <v>0</v>
      </c>
      <c r="AV5">
        <f>AU5*1.21</f>
        <v>0</v>
      </c>
      <c r="AW5">
        <v>0</v>
      </c>
      <c r="AX5">
        <f>AT5*AU5</f>
        <v>0</v>
      </c>
      <c r="AY5">
        <f>AX5-AW5</f>
        <v>0</v>
      </c>
      <c r="AZ5">
        <f>AP5-AX5</f>
        <v>146282.5</v>
      </c>
      <c r="BA5">
        <f>IF(AP5&gt;0,AZ5/AP5,0)</f>
        <v>1</v>
      </c>
      <c r="BB5" t="str">
        <v>Facturado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f>BF5-BH5</f>
        <v>0</v>
      </c>
      <c r="BJ5">
        <v>0</v>
      </c>
      <c r="BK5" t="str">
        <v>-</v>
      </c>
      <c r="BL5">
        <v>0</v>
      </c>
      <c r="BM5">
        <v>0</v>
      </c>
      <c r="BN5">
        <v>0</v>
      </c>
      <c r="BO5">
        <v>0</v>
      </c>
      <c r="BP5">
        <f>BO5-BN5</f>
        <v>0</v>
      </c>
      <c r="BQ5">
        <f>AP5-BO5</f>
        <v>146282.5</v>
      </c>
    </row>
    <row r="6">
      <c r="A6" t="str">
        <v>TRP-004</v>
      </c>
      <c r="B6">
        <v>2026</v>
      </c>
      <c r="C6">
        <v>8</v>
      </c>
      <c r="D6" t="str">
        <v>ago-26</v>
      </c>
      <c r="E6" t="str">
        <v>ago-26</v>
      </c>
      <c r="F6" t="str">
        <v>03/08/2026</v>
      </c>
      <c r="G6" t="str">
        <v>Propio</v>
      </c>
      <c r="H6" t="str">
        <v>JUAN y MIGUEL</v>
      </c>
      <c r="I6" t="str">
        <v>Rivarola Jorge</v>
      </c>
      <c r="J6" t="str">
        <v>15</v>
      </c>
      <c r="K6" t="str">
        <v>1</v>
      </c>
      <c r="L6" t="str">
        <v>ABIC</v>
      </c>
      <c r="M6" t="str">
        <v>1701</v>
      </c>
      <c r="N6" t="str">
        <v>ABIC</v>
      </c>
      <c r="O6" t="str">
        <v>209</v>
      </c>
      <c r="P6" t="str">
        <v>San Luis</v>
      </c>
      <c r="Q6" t="str">
        <v>Balde</v>
      </c>
      <c r="R6" t="str">
        <v>-</v>
      </c>
      <c r="S6" t="str">
        <v>ABIC</v>
      </c>
      <c r="T6" t="str">
        <v>Macachin</v>
      </c>
      <c r="U6" t="str">
        <v>Sal</v>
      </c>
      <c r="V6" t="str">
        <v>Sal</v>
      </c>
      <c r="W6">
        <v>680</v>
      </c>
      <c r="X6">
        <v>680</v>
      </c>
      <c r="Y6">
        <f>W6+X6</f>
        <v>1360</v>
      </c>
      <c r="Z6" t="str">
        <v>159581-64812</v>
      </c>
      <c r="AA6" t="str">
        <v>106850</v>
      </c>
      <c r="AB6" t="str">
        <v>31/07/2026</v>
      </c>
      <c r="AC6" t="str">
        <v>04/08/2026</v>
      </c>
      <c r="AD6">
        <v>34.16</v>
      </c>
      <c r="AE6" t="str">
        <v>-</v>
      </c>
      <c r="AF6">
        <v>0</v>
      </c>
      <c r="AG6">
        <v>0</v>
      </c>
      <c r="AH6">
        <f>AG6-AF6</f>
        <v>0</v>
      </c>
      <c r="AI6">
        <v>283.6</v>
      </c>
      <c r="AJ6" t="str">
        <v>12-5223</v>
      </c>
      <c r="AK6" t="str">
        <v>08/08/2026</v>
      </c>
      <c r="AL6" t="str">
        <v>-</v>
      </c>
      <c r="AM6" t="str">
        <v>Adeudado</v>
      </c>
      <c r="AN6">
        <v>1</v>
      </c>
      <c r="AO6">
        <v>192848</v>
      </c>
      <c r="AP6">
        <f>AN6*AO6</f>
        <v>192848</v>
      </c>
      <c r="AQ6">
        <f>AP6*0.21</f>
        <v>40498.08</v>
      </c>
      <c r="AR6">
        <f>AP6+AQ6</f>
        <v>233346.08</v>
      </c>
      <c r="AS6">
        <v>1</v>
      </c>
      <c r="AT6">
        <v>0</v>
      </c>
      <c r="AU6">
        <v>0</v>
      </c>
      <c r="AV6">
        <f>AU6*1.21</f>
        <v>0</v>
      </c>
      <c r="AW6">
        <v>0</v>
      </c>
      <c r="AX6">
        <f>AT6*AU6</f>
        <v>0</v>
      </c>
      <c r="AY6">
        <f>AX6-AW6</f>
        <v>0</v>
      </c>
      <c r="AZ6">
        <f>AP6-AX6</f>
        <v>192848</v>
      </c>
      <c r="BA6">
        <f>IF(AP6&gt;0,AZ6/AP6,0)</f>
        <v>1</v>
      </c>
      <c r="BB6" t="str">
        <v>Facturado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f>BF6-BH6</f>
        <v>0</v>
      </c>
      <c r="BJ6">
        <v>0</v>
      </c>
      <c r="BK6" t="str">
        <v>-</v>
      </c>
      <c r="BL6">
        <v>0</v>
      </c>
      <c r="BM6">
        <v>0</v>
      </c>
      <c r="BN6">
        <v>0</v>
      </c>
      <c r="BO6">
        <v>0</v>
      </c>
      <c r="BP6">
        <f>BO6-BN6</f>
        <v>0</v>
      </c>
      <c r="BQ6">
        <f>AP6-BO6</f>
        <v>192848</v>
      </c>
    </row>
    <row r="7">
      <c r="A7" t="str">
        <v>TRP-005</v>
      </c>
      <c r="B7">
        <v>2026</v>
      </c>
      <c r="C7">
        <v>8</v>
      </c>
      <c r="D7" t="str">
        <v>ago-26</v>
      </c>
      <c r="E7" t="str">
        <v>ago-26</v>
      </c>
      <c r="F7" t="str">
        <v>03/08/2026</v>
      </c>
      <c r="G7" t="str">
        <v>Propio</v>
      </c>
      <c r="H7" t="str">
        <v>JUAN y MIGUEL</v>
      </c>
      <c r="I7" t="str">
        <v>Quiroga</v>
      </c>
      <c r="J7" t="str">
        <v>13</v>
      </c>
      <c r="K7" t="str">
        <v>1</v>
      </c>
      <c r="L7" t="str">
        <v>RONATA</v>
      </c>
      <c r="M7" t="str">
        <v>1001</v>
      </c>
      <c r="N7" t="str">
        <v>ABIC</v>
      </c>
      <c r="O7" t="str">
        <v>209</v>
      </c>
      <c r="P7" t="str">
        <v>San Luis</v>
      </c>
      <c r="Q7" t="str">
        <v>Balde</v>
      </c>
      <c r="R7" t="str">
        <v>-</v>
      </c>
      <c r="S7" t="str">
        <v>RONATA</v>
      </c>
      <c r="T7" t="str">
        <v>Rio Tercero</v>
      </c>
      <c r="U7" t="str">
        <v>Sal</v>
      </c>
      <c r="V7" t="str">
        <v>Sal</v>
      </c>
      <c r="W7">
        <v>389</v>
      </c>
      <c r="X7">
        <v>389</v>
      </c>
      <c r="Y7">
        <f>W7+X7</f>
        <v>778</v>
      </c>
      <c r="Z7" t="str">
        <v>1327</v>
      </c>
      <c r="AA7" t="str">
        <v>106938</v>
      </c>
      <c r="AB7" t="str">
        <v>03/08/2026</v>
      </c>
      <c r="AC7" t="str">
        <v>04/08/2026</v>
      </c>
      <c r="AD7">
        <v>34.38</v>
      </c>
      <c r="AE7" t="str">
        <v>-</v>
      </c>
      <c r="AF7">
        <v>0</v>
      </c>
      <c r="AG7">
        <v>0</v>
      </c>
      <c r="AH7">
        <f>AG7-AF7</f>
        <v>0</v>
      </c>
      <c r="AI7">
        <v>0</v>
      </c>
      <c r="AJ7" t="str">
        <v>0012-00887</v>
      </c>
      <c r="AK7" t="str">
        <v>10/08/2026</v>
      </c>
      <c r="AL7" t="str">
        <v>-</v>
      </c>
      <c r="AM7" t="str">
        <v>O/C 4500105259</v>
      </c>
      <c r="AN7">
        <v>34.38</v>
      </c>
      <c r="AO7">
        <v>4254.87</v>
      </c>
      <c r="AP7">
        <f>AN7*AO7</f>
        <v>146282.5</v>
      </c>
      <c r="AQ7">
        <f>AP7*0.21</f>
        <v>30719.32</v>
      </c>
      <c r="AR7">
        <f>AP7+AQ7</f>
        <v>177001.82</v>
      </c>
      <c r="AS7">
        <v>1</v>
      </c>
      <c r="AT7">
        <v>0</v>
      </c>
      <c r="AU7">
        <v>0</v>
      </c>
      <c r="AV7">
        <f>AU7*1.21</f>
        <v>0</v>
      </c>
      <c r="AW7">
        <v>0</v>
      </c>
      <c r="AX7">
        <f>AT7*AU7</f>
        <v>0</v>
      </c>
      <c r="AY7">
        <f>AX7-AW7</f>
        <v>0</v>
      </c>
      <c r="AZ7">
        <f>AP7-AX7</f>
        <v>146282.5</v>
      </c>
      <c r="BA7">
        <f>IF(AP7&gt;0,AZ7/AP7,0)</f>
        <v>1</v>
      </c>
      <c r="BB7" t="str">
        <v>Facturado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f>BF7-BH7</f>
        <v>0</v>
      </c>
      <c r="BJ7">
        <v>0</v>
      </c>
      <c r="BK7" t="str">
        <v>-</v>
      </c>
      <c r="BL7">
        <v>0</v>
      </c>
      <c r="BM7">
        <v>0</v>
      </c>
      <c r="BN7">
        <v>0</v>
      </c>
      <c r="BO7">
        <v>0</v>
      </c>
      <c r="BP7">
        <f>BO7-BN7</f>
        <v>0</v>
      </c>
      <c r="BQ7">
        <f>AP7-BO7</f>
        <v>146282.5</v>
      </c>
    </row>
    <row r="8">
      <c r="A8" t="str">
        <v>TRP-006</v>
      </c>
      <c r="B8">
        <v>2026</v>
      </c>
      <c r="C8">
        <v>8</v>
      </c>
      <c r="D8" t="str">
        <v>ago-26</v>
      </c>
      <c r="E8" t="str">
        <v>ago-26</v>
      </c>
      <c r="F8" t="str">
        <v>03/08/2026</v>
      </c>
      <c r="G8" t="str">
        <v>Propio</v>
      </c>
      <c r="H8" t="str">
        <v>JUAN y MIGUEL</v>
      </c>
      <c r="I8" t="str">
        <v>Lopez Maximiliano</v>
      </c>
      <c r="J8" t="str">
        <v>5</v>
      </c>
      <c r="K8" t="str">
        <v>1</v>
      </c>
      <c r="L8" t="str">
        <v>RONATA</v>
      </c>
      <c r="M8" t="str">
        <v>1001</v>
      </c>
      <c r="N8" t="str">
        <v>ABIC</v>
      </c>
      <c r="O8" t="str">
        <v>209</v>
      </c>
      <c r="P8" t="str">
        <v>San Luis</v>
      </c>
      <c r="Q8" t="str">
        <v>Balde</v>
      </c>
      <c r="R8" t="str">
        <v>-</v>
      </c>
      <c r="S8" t="str">
        <v>RONATA</v>
      </c>
      <c r="T8" t="str">
        <v>Rio Tercero</v>
      </c>
      <c r="U8" t="str">
        <v>Sal</v>
      </c>
      <c r="V8" t="str">
        <v>Sal</v>
      </c>
      <c r="W8">
        <v>389</v>
      </c>
      <c r="X8">
        <v>389</v>
      </c>
      <c r="Y8">
        <f>W8+X8</f>
        <v>778</v>
      </c>
      <c r="Z8" t="str">
        <v>1331</v>
      </c>
      <c r="AA8" t="str">
        <v>106993</v>
      </c>
      <c r="AB8" t="str">
        <v>03/08/2026</v>
      </c>
      <c r="AC8" t="str">
        <v>04/08/2026</v>
      </c>
      <c r="AD8">
        <v>34.04</v>
      </c>
      <c r="AE8" t="str">
        <v>-</v>
      </c>
      <c r="AF8">
        <v>0</v>
      </c>
      <c r="AG8">
        <v>0</v>
      </c>
      <c r="AH8">
        <f>AG8-AF8</f>
        <v>0</v>
      </c>
      <c r="AI8">
        <v>0</v>
      </c>
      <c r="AJ8" t="str">
        <v>0012-00887</v>
      </c>
      <c r="AK8" t="str">
        <v>10/08/2026</v>
      </c>
      <c r="AL8" t="str">
        <v>-</v>
      </c>
      <c r="AM8" t="str">
        <v>O/C 4500105259</v>
      </c>
      <c r="AN8">
        <v>34.04</v>
      </c>
      <c r="AO8">
        <v>4254.87</v>
      </c>
      <c r="AP8">
        <f>AN8*AO8</f>
        <v>144835.84</v>
      </c>
      <c r="AQ8">
        <f>AP8*0.21</f>
        <v>30415.53</v>
      </c>
      <c r="AR8">
        <f>AP8+AQ8</f>
        <v>175251.37</v>
      </c>
      <c r="AS8">
        <v>1</v>
      </c>
      <c r="AT8">
        <v>0</v>
      </c>
      <c r="AU8">
        <v>0</v>
      </c>
      <c r="AV8">
        <f>AU8*1.21</f>
        <v>0</v>
      </c>
      <c r="AW8">
        <v>0</v>
      </c>
      <c r="AX8">
        <f>AT8*AU8</f>
        <v>0</v>
      </c>
      <c r="AY8">
        <f>AX8-AW8</f>
        <v>0</v>
      </c>
      <c r="AZ8">
        <f>AP8-AX8</f>
        <v>144835.84</v>
      </c>
      <c r="BA8">
        <f>IF(AP8&gt;0,AZ8/AP8,0)</f>
        <v>1</v>
      </c>
      <c r="BB8" t="str">
        <v>Facturado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f>BF8-BH8</f>
        <v>0</v>
      </c>
      <c r="BJ8">
        <v>0</v>
      </c>
      <c r="BK8" t="str">
        <v>-</v>
      </c>
      <c r="BL8">
        <v>0</v>
      </c>
      <c r="BM8">
        <v>0</v>
      </c>
      <c r="BN8">
        <v>0</v>
      </c>
      <c r="BO8">
        <v>0</v>
      </c>
      <c r="BP8">
        <f>BO8-BN8</f>
        <v>0</v>
      </c>
      <c r="BQ8">
        <f>AP8-BO8</f>
        <v>144835.84</v>
      </c>
    </row>
    <row r="9">
      <c r="A9" t="str">
        <v>TRP-007</v>
      </c>
      <c r="B9">
        <v>2026</v>
      </c>
      <c r="C9">
        <v>9</v>
      </c>
      <c r="D9" t="str">
        <v>sep-26</v>
      </c>
      <c r="E9" t="str">
        <v>ago-26</v>
      </c>
      <c r="F9" t="str">
        <v>03/08/2026</v>
      </c>
      <c r="G9" t="str">
        <v>Propio</v>
      </c>
      <c r="H9" t="str">
        <v>JUAN y MIGUEL</v>
      </c>
      <c r="I9" t="str">
        <v>Moreno Mauro</v>
      </c>
      <c r="J9" t="str">
        <v>8</v>
      </c>
      <c r="K9" t="str">
        <v>2</v>
      </c>
      <c r="L9" t="str">
        <v>FIORETTI</v>
      </c>
      <c r="M9" t="str">
        <v/>
      </c>
      <c r="N9" t="str">
        <v>FIORETTI</v>
      </c>
      <c r="O9" t="str">
        <v>209</v>
      </c>
      <c r="P9" t="str">
        <v>Cordoba</v>
      </c>
      <c r="Q9" t="str">
        <v>Rio Cuarto</v>
      </c>
      <c r="R9" t="str">
        <v>-</v>
      </c>
      <c r="S9" t="str">
        <v>FIORETTI</v>
      </c>
      <c r="T9" t="str">
        <v>Mendoza</v>
      </c>
      <c r="U9" t="str">
        <v>Cereales</v>
      </c>
      <c r="V9" t="str">
        <v>Maiz Quebrado</v>
      </c>
      <c r="W9">
        <v>0</v>
      </c>
      <c r="X9">
        <v>0</v>
      </c>
      <c r="Y9">
        <f>W9+X9</f>
        <v>0</v>
      </c>
      <c r="Z9" t="str">
        <v>Pendiente</v>
      </c>
      <c r="AA9" t="str">
        <v>Pendiente</v>
      </c>
      <c r="AB9" t="str">
        <v>03/08/2026</v>
      </c>
      <c r="AC9" t="str">
        <v>18/12/2025</v>
      </c>
      <c r="AD9">
        <v>31.1</v>
      </c>
      <c r="AE9" t="str">
        <v>-</v>
      </c>
      <c r="AF9">
        <v>0</v>
      </c>
      <c r="AG9">
        <v>0</v>
      </c>
      <c r="AH9">
        <f>AG9-AF9</f>
        <v>0</v>
      </c>
      <c r="AI9">
        <v>0</v>
      </c>
      <c r="AJ9" t="str">
        <v>Pendiente</v>
      </c>
      <c r="AK9" t="str">
        <v>Pendiente</v>
      </c>
      <c r="AL9" t="str">
        <v>-</v>
      </c>
      <c r="AM9" t="str">
        <v>-</v>
      </c>
      <c r="AN9">
        <v>0</v>
      </c>
      <c r="AO9">
        <v>0</v>
      </c>
      <c r="AP9">
        <f>AN9*AO9</f>
        <v>0</v>
      </c>
      <c r="AQ9">
        <f>AP9*0.21</f>
        <v>0</v>
      </c>
      <c r="AR9">
        <f>AP9+AQ9</f>
        <v>0</v>
      </c>
      <c r="AS9">
        <v>1</v>
      </c>
      <c r="AT9">
        <v>0</v>
      </c>
      <c r="AU9">
        <v>0</v>
      </c>
      <c r="AV9">
        <f>AU9*1.21</f>
        <v>0</v>
      </c>
      <c r="AW9">
        <v>0</v>
      </c>
      <c r="AX9">
        <f>AT9*AU9</f>
        <v>0</v>
      </c>
      <c r="AY9">
        <f>AX9-AW9</f>
        <v>0</v>
      </c>
      <c r="AZ9">
        <f>AP9-AX9</f>
        <v>0</v>
      </c>
      <c r="BA9">
        <f>IF(AP9&gt;0,AZ9/AP9,0)</f>
        <v>0</v>
      </c>
      <c r="BB9" t="str">
        <v>Pendiente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f>BF9-BH9</f>
        <v>0</v>
      </c>
      <c r="BJ9">
        <v>0</v>
      </c>
      <c r="BK9" t="str">
        <v>-</v>
      </c>
      <c r="BL9">
        <v>0</v>
      </c>
      <c r="BM9">
        <v>0</v>
      </c>
      <c r="BN9">
        <v>0</v>
      </c>
      <c r="BO9">
        <v>0</v>
      </c>
      <c r="BP9">
        <f>BO9-BN9</f>
        <v>0</v>
      </c>
      <c r="BQ9">
        <f>AP9-BO9</f>
        <v>0</v>
      </c>
    </row>
    <row r="10">
      <c r="A10" t="str">
        <v>TRP-008</v>
      </c>
      <c r="B10">
        <v>2026</v>
      </c>
      <c r="C10">
        <v>9</v>
      </c>
      <c r="D10" t="str">
        <v>sep-26</v>
      </c>
      <c r="E10" t="str">
        <v>ago-26</v>
      </c>
      <c r="F10" t="str">
        <v>03/08/2026</v>
      </c>
      <c r="G10" t="str">
        <v>Propio</v>
      </c>
      <c r="H10" t="str">
        <v>JUAN y MIGUEL</v>
      </c>
      <c r="I10" t="str">
        <v>Cejas Antonio</v>
      </c>
      <c r="J10" t="str">
        <v>12</v>
      </c>
      <c r="K10" t="str">
        <v>22</v>
      </c>
      <c r="L10" t="str">
        <v>FIORETTI</v>
      </c>
      <c r="M10" t="str">
        <v/>
      </c>
      <c r="N10" t="str">
        <v>FIORETTI</v>
      </c>
      <c r="O10" t="str">
        <v>209</v>
      </c>
      <c r="P10" t="str">
        <v>San Luis</v>
      </c>
      <c r="Q10" t="str">
        <v>Juan Jorba</v>
      </c>
      <c r="R10" t="str">
        <v>-</v>
      </c>
      <c r="S10" t="str">
        <v>FIORETTI</v>
      </c>
      <c r="T10" t="str">
        <v>San Juan</v>
      </c>
      <c r="U10" t="str">
        <v>Cereales</v>
      </c>
      <c r="V10" t="str">
        <v>Maiz Quebrado</v>
      </c>
      <c r="W10">
        <v>0</v>
      </c>
      <c r="X10">
        <v>0</v>
      </c>
      <c r="Y10">
        <f>W10+X10</f>
        <v>0</v>
      </c>
      <c r="Z10" t="str">
        <v>Pendiente</v>
      </c>
      <c r="AA10" t="str">
        <v>Pendiente</v>
      </c>
      <c r="AB10" t="str">
        <v>03/08/2026</v>
      </c>
      <c r="AC10" t="str">
        <v>18/12/2025</v>
      </c>
      <c r="AD10">
        <v>35</v>
      </c>
      <c r="AE10" t="str">
        <v>-</v>
      </c>
      <c r="AF10">
        <v>0</v>
      </c>
      <c r="AG10">
        <v>0</v>
      </c>
      <c r="AH10">
        <f>AG10-AF10</f>
        <v>0</v>
      </c>
      <c r="AI10">
        <v>0</v>
      </c>
      <c r="AJ10" t="str">
        <v>Pendiente</v>
      </c>
      <c r="AK10" t="str">
        <v>Pendiente</v>
      </c>
      <c r="AL10" t="str">
        <v>-</v>
      </c>
      <c r="AM10" t="str">
        <v>-</v>
      </c>
      <c r="AN10">
        <v>0</v>
      </c>
      <c r="AO10">
        <v>0</v>
      </c>
      <c r="AP10">
        <f>AN10*AO10</f>
        <v>0</v>
      </c>
      <c r="AQ10">
        <f>AP10*0.21</f>
        <v>0</v>
      </c>
      <c r="AR10">
        <f>AP10+AQ10</f>
        <v>0</v>
      </c>
      <c r="AS10">
        <v>1</v>
      </c>
      <c r="AT10">
        <v>0</v>
      </c>
      <c r="AU10">
        <v>0</v>
      </c>
      <c r="AV10">
        <f>AU10*1.21</f>
        <v>0</v>
      </c>
      <c r="AW10">
        <v>0</v>
      </c>
      <c r="AX10">
        <f>AT10*AU10</f>
        <v>0</v>
      </c>
      <c r="AY10">
        <f>AX10-AW10</f>
        <v>0</v>
      </c>
      <c r="AZ10">
        <f>AP10-AX10</f>
        <v>0</v>
      </c>
      <c r="BA10">
        <f>IF(AP10&gt;0,AZ10/AP10,0)</f>
        <v>0</v>
      </c>
      <c r="BB10" t="str">
        <v>Pendiente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f>BF10-BH10</f>
        <v>0</v>
      </c>
      <c r="BJ10">
        <v>0</v>
      </c>
      <c r="BK10" t="str">
        <v>-</v>
      </c>
      <c r="BL10">
        <v>0</v>
      </c>
      <c r="BM10">
        <v>0</v>
      </c>
      <c r="BN10">
        <v>0</v>
      </c>
      <c r="BO10">
        <v>0</v>
      </c>
      <c r="BP10">
        <f>BO10-BN10</f>
        <v>0</v>
      </c>
      <c r="BQ10">
        <f>AP10-BO10</f>
        <v>0</v>
      </c>
    </row>
    <row r="11">
      <c r="A11" t="str">
        <v>TRP-009</v>
      </c>
      <c r="B11">
        <v>2026</v>
      </c>
      <c r="C11">
        <v>8</v>
      </c>
      <c r="D11" t="str">
        <v>ago-26</v>
      </c>
      <c r="E11" t="str">
        <v>ago-26</v>
      </c>
      <c r="F11" t="str">
        <v>03/08/2026</v>
      </c>
      <c r="G11" t="str">
        <v>Propio</v>
      </c>
      <c r="H11" t="str">
        <v>JUAN y MIGUEL</v>
      </c>
      <c r="I11" t="str">
        <v>Ruben Martin</v>
      </c>
      <c r="J11" t="str">
        <v>10</v>
      </c>
      <c r="K11" t="str">
        <v>1</v>
      </c>
      <c r="L11" t="str">
        <v>RONATA</v>
      </c>
      <c r="M11" t="str">
        <v>1001</v>
      </c>
      <c r="N11" t="str">
        <v>ABIC</v>
      </c>
      <c r="O11" t="str">
        <v>209</v>
      </c>
      <c r="P11" t="str">
        <v>San Luis</v>
      </c>
      <c r="Q11" t="str">
        <v>Balde</v>
      </c>
      <c r="R11" t="str">
        <v>-</v>
      </c>
      <c r="S11" t="str">
        <v>RONATA</v>
      </c>
      <c r="T11" t="str">
        <v>Rio Tercero</v>
      </c>
      <c r="U11" t="str">
        <v>Sal</v>
      </c>
      <c r="V11" t="str">
        <v>Sal</v>
      </c>
      <c r="W11">
        <v>389</v>
      </c>
      <c r="X11">
        <v>389</v>
      </c>
      <c r="Y11">
        <f>W11+X11</f>
        <v>778</v>
      </c>
      <c r="Z11" t="str">
        <v>1326</v>
      </c>
      <c r="AA11" t="str">
        <v>106919</v>
      </c>
      <c r="AB11" t="str">
        <v>03/08/2026</v>
      </c>
      <c r="AC11" t="str">
        <v>04/08/2026</v>
      </c>
      <c r="AD11">
        <v>32.54</v>
      </c>
      <c r="AE11" t="str">
        <v>-</v>
      </c>
      <c r="AF11">
        <v>0</v>
      </c>
      <c r="AG11">
        <v>0</v>
      </c>
      <c r="AH11">
        <f>AG11-AF11</f>
        <v>0</v>
      </c>
      <c r="AI11">
        <v>0</v>
      </c>
      <c r="AJ11" t="str">
        <v>0012-00887</v>
      </c>
      <c r="AK11" t="str">
        <v>10/08/2026</v>
      </c>
      <c r="AL11" t="str">
        <v>-</v>
      </c>
      <c r="AM11" t="str">
        <v>O/C 4500105259</v>
      </c>
      <c r="AN11">
        <v>32.54</v>
      </c>
      <c r="AO11">
        <v>4254.87</v>
      </c>
      <c r="AP11">
        <f>AN11*AO11</f>
        <v>138453.53</v>
      </c>
      <c r="AQ11">
        <f>AP11*0.21</f>
        <v>29075.24</v>
      </c>
      <c r="AR11">
        <f>AP11+AQ11</f>
        <v>167528.78</v>
      </c>
      <c r="AS11">
        <v>1</v>
      </c>
      <c r="AT11">
        <v>0</v>
      </c>
      <c r="AU11">
        <v>0</v>
      </c>
      <c r="AV11">
        <f>AU11*1.21</f>
        <v>0</v>
      </c>
      <c r="AW11">
        <v>0</v>
      </c>
      <c r="AX11">
        <f>AT11*AU11</f>
        <v>0</v>
      </c>
      <c r="AY11">
        <f>AX11-AW11</f>
        <v>0</v>
      </c>
      <c r="AZ11">
        <f>AP11-AX11</f>
        <v>138453.53</v>
      </c>
      <c r="BA11">
        <f>IF(AP11&gt;0,AZ11/AP11,0)</f>
        <v>1</v>
      </c>
      <c r="BB11" t="str">
        <v>Facturado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f>BF11-BH11</f>
        <v>0</v>
      </c>
      <c r="BJ11">
        <v>0</v>
      </c>
      <c r="BK11" t="str">
        <v>-</v>
      </c>
      <c r="BL11">
        <v>0</v>
      </c>
      <c r="BM11">
        <v>0</v>
      </c>
      <c r="BN11">
        <v>0</v>
      </c>
      <c r="BO11">
        <v>0</v>
      </c>
      <c r="BP11">
        <f>BO11-BN11</f>
        <v>0</v>
      </c>
      <c r="BQ11">
        <f>AP11-BO11</f>
        <v>138453.53</v>
      </c>
    </row>
    <row r="12">
      <c r="A12" t="str">
        <v>TRP-010</v>
      </c>
      <c r="B12">
        <v>2026</v>
      </c>
      <c r="C12">
        <v>8</v>
      </c>
      <c r="D12" t="str">
        <v>ago-26</v>
      </c>
      <c r="E12" t="str">
        <v>ago-26</v>
      </c>
      <c r="F12" t="str">
        <v>03/08/2026</v>
      </c>
      <c r="G12" t="str">
        <v>Propio</v>
      </c>
      <c r="H12" t="str">
        <v>JUAN y MIGUEL</v>
      </c>
      <c r="I12" t="str">
        <v>Ledesma Jonatan</v>
      </c>
      <c r="J12" t="str">
        <v>14</v>
      </c>
      <c r="K12" t="str">
        <v>99</v>
      </c>
      <c r="L12" t="str">
        <v>RONATA</v>
      </c>
      <c r="M12" t="str">
        <v>Tanque</v>
      </c>
      <c r="N12" t="str">
        <v>RONATA</v>
      </c>
      <c r="O12" t="str">
        <v>209</v>
      </c>
      <c r="P12" t="str">
        <v>Cordoba</v>
      </c>
      <c r="Q12" t="str">
        <v>Rio Tercero</v>
      </c>
      <c r="R12" t="str">
        <v>-</v>
      </c>
      <c r="S12" t="str">
        <v>PAPEL PRENSA</v>
      </c>
      <c r="T12" t="str">
        <v>San pedro</v>
      </c>
      <c r="U12" t="str">
        <v>Tanques</v>
      </c>
      <c r="V12" t="str">
        <v>Agua Oxigenada</v>
      </c>
      <c r="W12">
        <v>537</v>
      </c>
      <c r="X12">
        <v>537</v>
      </c>
      <c r="Y12">
        <f>W12+X12</f>
        <v>1074</v>
      </c>
      <c r="Z12" t="str">
        <v>61-6058</v>
      </c>
      <c r="AA12" t="str">
        <v>62-78095</v>
      </c>
      <c r="AB12" t="str">
        <v>03/08/2026</v>
      </c>
      <c r="AC12" t="str">
        <v>04/08/2026</v>
      </c>
      <c r="AD12">
        <v>27.68</v>
      </c>
      <c r="AE12" t="str">
        <v>-</v>
      </c>
      <c r="AF12">
        <v>0</v>
      </c>
      <c r="AG12">
        <v>0</v>
      </c>
      <c r="AH12">
        <f>AG12-AF12</f>
        <v>0</v>
      </c>
      <c r="AI12">
        <v>198.83</v>
      </c>
      <c r="AJ12" t="str">
        <v>0012-00889</v>
      </c>
      <c r="AK12" t="str">
        <v>14/08/2026</v>
      </c>
      <c r="AL12" t="str">
        <v>-</v>
      </c>
      <c r="AM12" t="str">
        <v>L26</v>
      </c>
      <c r="AN12">
        <v>1</v>
      </c>
      <c r="AO12">
        <v>213544.18</v>
      </c>
      <c r="AP12">
        <f>AN12*AO12</f>
        <v>213544.18</v>
      </c>
      <c r="AQ12">
        <f>AP12*0.21</f>
        <v>44844.28</v>
      </c>
      <c r="AR12">
        <f>AP12+AQ12</f>
        <v>258388.46</v>
      </c>
      <c r="AS12">
        <v>1</v>
      </c>
      <c r="AT12">
        <v>0</v>
      </c>
      <c r="AU12">
        <v>0</v>
      </c>
      <c r="AV12">
        <f>AU12*1.21</f>
        <v>0</v>
      </c>
      <c r="AW12">
        <v>0</v>
      </c>
      <c r="AX12">
        <f>AT12*AU12</f>
        <v>0</v>
      </c>
      <c r="AY12">
        <f>AX12-AW12</f>
        <v>0</v>
      </c>
      <c r="AZ12">
        <f>AP12-AX12</f>
        <v>213544.18</v>
      </c>
      <c r="BA12">
        <f>IF(AP12&gt;0,AZ12/AP12,0)</f>
        <v>1</v>
      </c>
      <c r="BB12" t="str">
        <v>Facturado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f>BF12-BH12</f>
        <v>0</v>
      </c>
      <c r="BJ12">
        <v>0</v>
      </c>
      <c r="BK12" t="str">
        <v>-</v>
      </c>
      <c r="BL12">
        <v>0</v>
      </c>
      <c r="BM12">
        <v>0</v>
      </c>
      <c r="BN12">
        <v>0</v>
      </c>
      <c r="BO12">
        <v>0</v>
      </c>
      <c r="BP12">
        <f>BO12-BN12</f>
        <v>0</v>
      </c>
      <c r="BQ12">
        <f>AP12-BO12</f>
        <v>213544.18</v>
      </c>
    </row>
    <row r="13">
      <c r="A13" t="str">
        <v>TRP-011</v>
      </c>
      <c r="B13">
        <v>2026</v>
      </c>
      <c r="C13">
        <v>8</v>
      </c>
      <c r="D13" t="str">
        <v>ago-26</v>
      </c>
      <c r="E13" t="str">
        <v>ago-26</v>
      </c>
      <c r="F13" t="str">
        <v>03/08/2026</v>
      </c>
      <c r="G13" t="str">
        <v>Propio</v>
      </c>
      <c r="H13" t="str">
        <v>JUAN y MIGUEL</v>
      </c>
      <c r="I13" t="str">
        <v>Bruni Emilio</v>
      </c>
      <c r="J13" t="str">
        <v>6</v>
      </c>
      <c r="K13" t="str">
        <v>1</v>
      </c>
      <c r="L13" t="str">
        <v>RONATA</v>
      </c>
      <c r="M13" t="str">
        <v>1001</v>
      </c>
      <c r="N13" t="str">
        <v>ABIC</v>
      </c>
      <c r="O13" t="str">
        <v>209</v>
      </c>
      <c r="P13" t="str">
        <v>San Luis</v>
      </c>
      <c r="Q13" t="str">
        <v>Balde</v>
      </c>
      <c r="R13" t="str">
        <v>-</v>
      </c>
      <c r="S13" t="str">
        <v>RONATA</v>
      </c>
      <c r="T13" t="str">
        <v>Rio Tercero</v>
      </c>
      <c r="U13" t="str">
        <v>Sal</v>
      </c>
      <c r="V13" t="str">
        <v>Sal</v>
      </c>
      <c r="W13">
        <v>389</v>
      </c>
      <c r="X13">
        <v>389</v>
      </c>
      <c r="Y13">
        <f>W13+X13</f>
        <v>778</v>
      </c>
      <c r="Z13" t="str">
        <v>1323</v>
      </c>
      <c r="AA13" t="str">
        <v>106596</v>
      </c>
      <c r="AB13" t="str">
        <v>03/08/2026</v>
      </c>
      <c r="AC13" t="str">
        <v>04/08/2026</v>
      </c>
      <c r="AD13">
        <v>32.24</v>
      </c>
      <c r="AE13" t="str">
        <v>-</v>
      </c>
      <c r="AF13">
        <v>0</v>
      </c>
      <c r="AG13">
        <v>0</v>
      </c>
      <c r="AH13">
        <f>AG13-AF13</f>
        <v>0</v>
      </c>
      <c r="AI13">
        <v>0</v>
      </c>
      <c r="AJ13" t="str">
        <v>0012-00887</v>
      </c>
      <c r="AK13" t="str">
        <v>10/08/2026</v>
      </c>
      <c r="AL13" t="str">
        <v>-</v>
      </c>
      <c r="AM13" t="str">
        <v>O/C 4500105259</v>
      </c>
      <c r="AN13">
        <v>32.24</v>
      </c>
      <c r="AO13">
        <v>4254.87</v>
      </c>
      <c r="AP13">
        <f>AN13*AO13</f>
        <v>137177.07</v>
      </c>
      <c r="AQ13">
        <f>AP13*0.21</f>
        <v>28807.19</v>
      </c>
      <c r="AR13">
        <f>AP13+AQ13</f>
        <v>165984.26</v>
      </c>
      <c r="AS13">
        <v>1</v>
      </c>
      <c r="AT13">
        <v>0</v>
      </c>
      <c r="AU13">
        <v>0</v>
      </c>
      <c r="AV13">
        <f>AU13*1.21</f>
        <v>0</v>
      </c>
      <c r="AW13">
        <v>0</v>
      </c>
      <c r="AX13">
        <f>AT13*AU13</f>
        <v>0</v>
      </c>
      <c r="AY13">
        <f>AX13-AW13</f>
        <v>0</v>
      </c>
      <c r="AZ13">
        <f>AP13-AX13</f>
        <v>137177.07</v>
      </c>
      <c r="BA13">
        <f>IF(AP13&gt;0,AZ13/AP13,0)</f>
        <v>1</v>
      </c>
      <c r="BB13" t="str">
        <v>Facturado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f>BF13-BH13</f>
        <v>0</v>
      </c>
      <c r="BJ13">
        <v>0</v>
      </c>
      <c r="BK13" t="str">
        <v>-</v>
      </c>
      <c r="BL13">
        <v>0</v>
      </c>
      <c r="BM13">
        <v>0</v>
      </c>
      <c r="BN13">
        <v>0</v>
      </c>
      <c r="BO13">
        <v>0</v>
      </c>
      <c r="BP13">
        <f>BO13-BN13</f>
        <v>0</v>
      </c>
      <c r="BQ13">
        <f>AP13-BO13</f>
        <v>137177.07</v>
      </c>
    </row>
    <row r="14">
      <c r="A14" t="str">
        <v>TRP-012</v>
      </c>
      <c r="B14">
        <v>2026</v>
      </c>
      <c r="C14">
        <v>8</v>
      </c>
      <c r="D14" t="str">
        <v>ago-26</v>
      </c>
      <c r="E14" t="str">
        <v>ago-26</v>
      </c>
      <c r="F14" t="str">
        <v>03/08/2026</v>
      </c>
      <c r="G14" t="str">
        <v>Fletero</v>
      </c>
      <c r="H14" t="str">
        <v>Lucero</v>
      </c>
      <c r="I14" t="str">
        <v>Lucero Mauricio</v>
      </c>
      <c r="J14" t="str">
        <v>601</v>
      </c>
      <c r="K14" t="str">
        <v>1</v>
      </c>
      <c r="L14" t="str">
        <v>ALACAL SRL</v>
      </c>
      <c r="M14" t="str">
        <v>1690</v>
      </c>
      <c r="N14" t="str">
        <v>GRUPO A SA</v>
      </c>
      <c r="O14" t="str">
        <v>209</v>
      </c>
      <c r="P14" t="str">
        <v>Cordoba</v>
      </c>
      <c r="Q14" t="str">
        <v>Rio Cuarto</v>
      </c>
      <c r="R14" t="str">
        <v>-</v>
      </c>
      <c r="S14" t="str">
        <v>ITALIANOS SA</v>
      </c>
      <c r="T14" t="str">
        <v>San Luis</v>
      </c>
      <c r="U14" t="str">
        <v>Cereales</v>
      </c>
      <c r="V14" t="str">
        <v>Desechos de Maiz</v>
      </c>
      <c r="W14">
        <v>0</v>
      </c>
      <c r="X14">
        <v>0</v>
      </c>
      <c r="Y14">
        <f>W14+X14</f>
        <v>0</v>
      </c>
      <c r="Z14" t="str">
        <v>2032-097223</v>
      </c>
      <c r="AA14" t="str">
        <v>107080</v>
      </c>
      <c r="AB14" t="str">
        <v>03/08/2026</v>
      </c>
      <c r="AC14" t="str">
        <v>04/08/2026</v>
      </c>
      <c r="AD14">
        <v>28.66</v>
      </c>
      <c r="AE14" t="str">
        <v>-</v>
      </c>
      <c r="AF14">
        <v>0</v>
      </c>
      <c r="AG14">
        <v>0</v>
      </c>
      <c r="AH14">
        <f>AG14-AF14</f>
        <v>0</v>
      </c>
      <c r="AI14">
        <v>0</v>
      </c>
      <c r="AJ14" t="str">
        <v>12-5227</v>
      </c>
      <c r="AK14" t="str">
        <v>10/08/2026</v>
      </c>
      <c r="AL14" t="str">
        <v>-</v>
      </c>
      <c r="AM14" t="str">
        <v>-</v>
      </c>
      <c r="AN14">
        <v>28.66</v>
      </c>
      <c r="AO14">
        <v>1650</v>
      </c>
      <c r="AP14">
        <f>AN14*AO14</f>
        <v>47289</v>
      </c>
      <c r="AQ14">
        <f>AP14*0.21</f>
        <v>9930.69</v>
      </c>
      <c r="AR14">
        <f>AP14+AQ14</f>
        <v>57219.69</v>
      </c>
      <c r="AS14">
        <v>0.27</v>
      </c>
      <c r="AT14">
        <v>28.66</v>
      </c>
      <c r="AU14">
        <v>1210</v>
      </c>
      <c r="AV14">
        <f>AU14*1.21</f>
        <v>1464.1</v>
      </c>
      <c r="AW14">
        <v>0</v>
      </c>
      <c r="AX14">
        <f>AT14*AU14</f>
        <v>34678.6</v>
      </c>
      <c r="AY14">
        <f>AX14-AW14</f>
        <v>0</v>
      </c>
      <c r="AZ14">
        <f>AP14-AX14</f>
        <v>12610.4</v>
      </c>
      <c r="BA14">
        <f>IF(AP14&gt;0,AZ14/AP14,0)</f>
        <v>0.27</v>
      </c>
      <c r="BB14" t="str">
        <v>Facturado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f>BF14-BH14</f>
        <v>0</v>
      </c>
      <c r="BJ14">
        <v>0</v>
      </c>
      <c r="BK14" t="str">
        <v>-</v>
      </c>
      <c r="BL14">
        <v>0</v>
      </c>
      <c r="BM14">
        <v>0</v>
      </c>
      <c r="BN14">
        <v>0</v>
      </c>
      <c r="BO14">
        <v>0</v>
      </c>
      <c r="BP14">
        <f>BO14-BN14</f>
        <v>0</v>
      </c>
      <c r="BQ14">
        <f>AP14-BO14</f>
        <v>12610.4</v>
      </c>
    </row>
    <row r="15">
      <c r="A15" t="str">
        <v>TRP-013</v>
      </c>
      <c r="B15">
        <v>2026</v>
      </c>
      <c r="C15">
        <v>8</v>
      </c>
      <c r="D15" t="str">
        <v>ago-26</v>
      </c>
      <c r="E15" t="str">
        <v>ago-26</v>
      </c>
      <c r="F15" t="str">
        <v>03/08/2026</v>
      </c>
      <c r="G15" t="str">
        <v>Fletero</v>
      </c>
      <c r="H15" t="str">
        <v>Martinez</v>
      </c>
      <c r="I15" t="str">
        <v>Martinez Nestor</v>
      </c>
      <c r="J15" t="str">
        <v>501</v>
      </c>
      <c r="K15" t="str">
        <v>1</v>
      </c>
      <c r="L15" t="str">
        <v>PUCARA</v>
      </c>
      <c r="M15" t="str">
        <v>1543</v>
      </c>
      <c r="N15" t="str">
        <v>EL TALAR SRL</v>
      </c>
      <c r="O15" t="str">
        <v>209</v>
      </c>
      <c r="P15" t="str">
        <v>Cordoba</v>
      </c>
      <c r="Q15" t="str">
        <v>Coronel Moledes</v>
      </c>
      <c r="R15" t="str">
        <v>-</v>
      </c>
      <c r="S15" t="str">
        <v>BODEGAS Y VIÑEDOS PUCARA</v>
      </c>
      <c r="T15" t="str">
        <v>Tunuyan - Mendoza</v>
      </c>
      <c r="U15" t="str">
        <v>Cereales</v>
      </c>
      <c r="V15" t="str">
        <v>Maiz</v>
      </c>
      <c r="W15">
        <v>217</v>
      </c>
      <c r="X15">
        <v>533</v>
      </c>
      <c r="Y15">
        <f>W15+X15</f>
        <v>750</v>
      </c>
      <c r="Z15" t="str">
        <v>69</v>
      </c>
      <c r="AA15" t="str">
        <v>107020</v>
      </c>
      <c r="AB15" t="str">
        <v>03/08/2026</v>
      </c>
      <c r="AC15" t="str">
        <v>04/08/2026</v>
      </c>
      <c r="AD15">
        <v>33.1</v>
      </c>
      <c r="AE15" t="str">
        <v>-</v>
      </c>
      <c r="AF15">
        <v>0</v>
      </c>
      <c r="AG15">
        <v>0</v>
      </c>
      <c r="AH15">
        <f>AG15-AF15</f>
        <v>0</v>
      </c>
      <c r="AI15">
        <v>0</v>
      </c>
      <c r="AJ15" t="str">
        <v>12-5225</v>
      </c>
      <c r="AK15" t="str">
        <v>10/08/2026</v>
      </c>
      <c r="AL15" t="str">
        <v>-</v>
      </c>
      <c r="AM15" t="str">
        <v>-</v>
      </c>
      <c r="AN15">
        <v>33.1</v>
      </c>
      <c r="AO15">
        <v>4750</v>
      </c>
      <c r="AP15">
        <f>AN15*AO15</f>
        <v>157225</v>
      </c>
      <c r="AQ15">
        <f>AP15*0.21</f>
        <v>33017.25</v>
      </c>
      <c r="AR15">
        <f>AP15+AQ15</f>
        <v>190242.25</v>
      </c>
      <c r="AS15">
        <v>0.27</v>
      </c>
      <c r="AT15">
        <v>33.1</v>
      </c>
      <c r="AU15">
        <v>332.5</v>
      </c>
      <c r="AV15">
        <f>AU15*1.21</f>
        <v>402.325</v>
      </c>
      <c r="AW15">
        <v>0</v>
      </c>
      <c r="AX15">
        <f>AT15*AU15</f>
        <v>11005.75</v>
      </c>
      <c r="AY15">
        <f>AX15-AW15</f>
        <v>0</v>
      </c>
      <c r="AZ15">
        <f>AP15-AX15</f>
        <v>146219.25</v>
      </c>
      <c r="BA15">
        <f>IF(AP15&gt;0,AZ15/AP15,0)</f>
        <v>0.93</v>
      </c>
      <c r="BB15" t="str">
        <v>Facturado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f>BF15-BH15</f>
        <v>0</v>
      </c>
      <c r="BJ15">
        <v>0</v>
      </c>
      <c r="BK15" t="str">
        <v>-</v>
      </c>
      <c r="BL15">
        <v>0</v>
      </c>
      <c r="BM15">
        <v>0</v>
      </c>
      <c r="BN15">
        <v>0</v>
      </c>
      <c r="BO15">
        <v>0</v>
      </c>
      <c r="BP15">
        <f>BO15-BN15</f>
        <v>0</v>
      </c>
      <c r="BQ15">
        <f>AP15-BO15</f>
        <v>146219.25</v>
      </c>
    </row>
    <row r="16">
      <c r="A16" t="str">
        <v>TRP-014</v>
      </c>
      <c r="B16">
        <v>2026</v>
      </c>
      <c r="C16">
        <v>8</v>
      </c>
      <c r="D16" t="str">
        <v>ago-26</v>
      </c>
      <c r="E16" t="str">
        <v>ago-26</v>
      </c>
      <c r="F16" t="str">
        <v>04/08/2026</v>
      </c>
      <c r="G16" t="str">
        <v>Propio</v>
      </c>
      <c r="H16" t="str">
        <v>JUAN y MIGUEL</v>
      </c>
      <c r="I16" t="str">
        <v>Tosco</v>
      </c>
      <c r="J16" t="str">
        <v>4</v>
      </c>
      <c r="K16" t="str">
        <v>1</v>
      </c>
      <c r="L16" t="str">
        <v>RONATA</v>
      </c>
      <c r="M16" t="str">
        <v>1001</v>
      </c>
      <c r="N16" t="str">
        <v>ABIC</v>
      </c>
      <c r="O16" t="str">
        <v>209</v>
      </c>
      <c r="P16" t="str">
        <v>San Luis</v>
      </c>
      <c r="Q16" t="str">
        <v>Balde</v>
      </c>
      <c r="R16" t="str">
        <v>-</v>
      </c>
      <c r="S16" t="str">
        <v>RONATA</v>
      </c>
      <c r="T16" t="str">
        <v>Rio Tercero</v>
      </c>
      <c r="U16" t="str">
        <v>Sal</v>
      </c>
      <c r="V16" t="str">
        <v>Sal</v>
      </c>
      <c r="W16">
        <v>389</v>
      </c>
      <c r="X16">
        <v>389</v>
      </c>
      <c r="Y16">
        <f>W16+X16</f>
        <v>778</v>
      </c>
      <c r="Z16" t="str">
        <v>1337</v>
      </c>
      <c r="AA16" t="str">
        <v>107057</v>
      </c>
      <c r="AB16" t="str">
        <v>04/08/2026</v>
      </c>
      <c r="AC16" t="str">
        <v>05/08/2026</v>
      </c>
      <c r="AD16">
        <v>34</v>
      </c>
      <c r="AE16" t="str">
        <v>-</v>
      </c>
      <c r="AF16">
        <v>0</v>
      </c>
      <c r="AG16">
        <v>0</v>
      </c>
      <c r="AH16">
        <f>AG16-AF16</f>
        <v>0</v>
      </c>
      <c r="AI16">
        <v>0</v>
      </c>
      <c r="AJ16" t="str">
        <v>0012-00887</v>
      </c>
      <c r="AK16" t="str">
        <v>10/08/2026</v>
      </c>
      <c r="AL16" t="str">
        <v>-</v>
      </c>
      <c r="AM16" t="str">
        <v>O/C 4500105259</v>
      </c>
      <c r="AN16">
        <v>34</v>
      </c>
      <c r="AO16">
        <v>4254.87</v>
      </c>
      <c r="AP16">
        <f>AN16*AO16</f>
        <v>144665.65</v>
      </c>
      <c r="AQ16">
        <f>AP16*0.21</f>
        <v>30379.79</v>
      </c>
      <c r="AR16">
        <f>AP16+AQ16</f>
        <v>175045.43</v>
      </c>
      <c r="AS16">
        <v>1</v>
      </c>
      <c r="AT16">
        <v>0</v>
      </c>
      <c r="AU16">
        <v>0</v>
      </c>
      <c r="AV16">
        <f>AU16*1.21</f>
        <v>0</v>
      </c>
      <c r="AW16">
        <v>0</v>
      </c>
      <c r="AX16">
        <f>AT16*AU16</f>
        <v>0</v>
      </c>
      <c r="AY16">
        <f>AX16-AW16</f>
        <v>0</v>
      </c>
      <c r="AZ16">
        <f>AP16-AX16</f>
        <v>144665.65</v>
      </c>
      <c r="BA16">
        <f>IF(AP16&gt;0,AZ16/AP16,0)</f>
        <v>1</v>
      </c>
      <c r="BB16" t="str">
        <v>Facturado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f>BF16-BH16</f>
        <v>0</v>
      </c>
      <c r="BJ16">
        <v>0</v>
      </c>
      <c r="BK16" t="str">
        <v>-</v>
      </c>
      <c r="BL16">
        <v>0</v>
      </c>
      <c r="BM16">
        <v>0</v>
      </c>
      <c r="BN16">
        <v>0</v>
      </c>
      <c r="BO16">
        <v>0</v>
      </c>
      <c r="BP16">
        <f>BO16-BN16</f>
        <v>0</v>
      </c>
      <c r="BQ16">
        <f>AP16-BO16</f>
        <v>144665.65</v>
      </c>
    </row>
    <row r="17">
      <c r="A17" t="str">
        <v>TRP-015</v>
      </c>
      <c r="B17">
        <v>2026</v>
      </c>
      <c r="C17">
        <v>8</v>
      </c>
      <c r="D17" t="str">
        <v>ago-26</v>
      </c>
      <c r="E17" t="str">
        <v>ago-26</v>
      </c>
      <c r="F17" t="str">
        <v>04/08/2026</v>
      </c>
      <c r="G17" t="str">
        <v>Propio</v>
      </c>
      <c r="H17" t="str">
        <v>JUAN y MIGUEL</v>
      </c>
      <c r="I17" t="str">
        <v>Quiroga</v>
      </c>
      <c r="J17" t="str">
        <v>13</v>
      </c>
      <c r="K17" t="str">
        <v>1</v>
      </c>
      <c r="L17" t="str">
        <v>RONATA</v>
      </c>
      <c r="M17" t="str">
        <v>1001</v>
      </c>
      <c r="N17" t="str">
        <v>ABIC</v>
      </c>
      <c r="O17" t="str">
        <v>209</v>
      </c>
      <c r="P17" t="str">
        <v>San Luis</v>
      </c>
      <c r="Q17" t="str">
        <v>Balde</v>
      </c>
      <c r="R17" t="str">
        <v>-</v>
      </c>
      <c r="S17" t="str">
        <v>RONATA</v>
      </c>
      <c r="T17" t="str">
        <v>Rio Tercero</v>
      </c>
      <c r="U17" t="str">
        <v>Sal</v>
      </c>
      <c r="V17" t="str">
        <v>Sal</v>
      </c>
      <c r="W17">
        <v>389</v>
      </c>
      <c r="X17">
        <v>389</v>
      </c>
      <c r="Y17">
        <f>W17+X17</f>
        <v>778</v>
      </c>
      <c r="Z17" t="str">
        <v>1340</v>
      </c>
      <c r="AA17" t="str">
        <v>106939</v>
      </c>
      <c r="AB17" t="str">
        <v>04/08/2026</v>
      </c>
      <c r="AC17" t="str">
        <v>05/08/2026</v>
      </c>
      <c r="AD17">
        <v>34.08</v>
      </c>
      <c r="AE17" t="str">
        <v>-</v>
      </c>
      <c r="AF17">
        <v>0</v>
      </c>
      <c r="AG17">
        <v>0</v>
      </c>
      <c r="AH17">
        <f>AG17-AF17</f>
        <v>0</v>
      </c>
      <c r="AI17">
        <v>0</v>
      </c>
      <c r="AJ17" t="str">
        <v>0012-00887</v>
      </c>
      <c r="AK17" t="str">
        <v>10/08/2026</v>
      </c>
      <c r="AL17" t="str">
        <v>-</v>
      </c>
      <c r="AM17" t="str">
        <v>O/C 4500105259</v>
      </c>
      <c r="AN17">
        <v>34.08</v>
      </c>
      <c r="AO17">
        <v>4254.87</v>
      </c>
      <c r="AP17">
        <f>AN17*AO17</f>
        <v>145006.04</v>
      </c>
      <c r="AQ17">
        <f>AP17*0.21</f>
        <v>30451.27</v>
      </c>
      <c r="AR17">
        <f>AP17+AQ17</f>
        <v>175457.31</v>
      </c>
      <c r="AS17">
        <v>1</v>
      </c>
      <c r="AT17">
        <v>0</v>
      </c>
      <c r="AU17">
        <v>0</v>
      </c>
      <c r="AV17">
        <f>AU17*1.21</f>
        <v>0</v>
      </c>
      <c r="AW17">
        <v>0</v>
      </c>
      <c r="AX17">
        <f>AT17*AU17</f>
        <v>0</v>
      </c>
      <c r="AY17">
        <f>AX17-AW17</f>
        <v>0</v>
      </c>
      <c r="AZ17">
        <f>AP17-AX17</f>
        <v>145006.04</v>
      </c>
      <c r="BA17">
        <f>IF(AP17&gt;0,AZ17/AP17,0)</f>
        <v>1</v>
      </c>
      <c r="BB17" t="str">
        <v>Facturado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f>BF17-BH17</f>
        <v>0</v>
      </c>
      <c r="BJ17">
        <v>0</v>
      </c>
      <c r="BK17" t="str">
        <v>-</v>
      </c>
      <c r="BL17">
        <v>0</v>
      </c>
      <c r="BM17">
        <v>0</v>
      </c>
      <c r="BN17">
        <v>0</v>
      </c>
      <c r="BO17">
        <v>0</v>
      </c>
      <c r="BP17">
        <f>BO17-BN17</f>
        <v>0</v>
      </c>
      <c r="BQ17">
        <f>AP17-BO17</f>
        <v>145006.04</v>
      </c>
    </row>
    <row r="18">
      <c r="A18" t="str">
        <v>TRP-016</v>
      </c>
      <c r="B18">
        <v>2026</v>
      </c>
      <c r="C18">
        <v>8</v>
      </c>
      <c r="D18" t="str">
        <v>ago-26</v>
      </c>
      <c r="E18" t="str">
        <v>ago-26</v>
      </c>
      <c r="F18" t="str">
        <v>04/08/2026</v>
      </c>
      <c r="G18" t="str">
        <v>Propio</v>
      </c>
      <c r="H18" t="str">
        <v>JUAN y MIGUEL</v>
      </c>
      <c r="I18" t="str">
        <v>Lopez Maximiliano</v>
      </c>
      <c r="J18" t="str">
        <v>5</v>
      </c>
      <c r="K18" t="str">
        <v>1</v>
      </c>
      <c r="L18" t="str">
        <v>RONATA</v>
      </c>
      <c r="M18" t="str">
        <v>1001</v>
      </c>
      <c r="N18" t="str">
        <v>ABIC</v>
      </c>
      <c r="O18" t="str">
        <v>209</v>
      </c>
      <c r="P18" t="str">
        <v>San Luis</v>
      </c>
      <c r="Q18" t="str">
        <v>Balde</v>
      </c>
      <c r="R18" t="str">
        <v>-</v>
      </c>
      <c r="S18" t="str">
        <v>RONATA</v>
      </c>
      <c r="T18" t="str">
        <v>Rio Tercero</v>
      </c>
      <c r="U18" t="str">
        <v>Sal</v>
      </c>
      <c r="V18" t="str">
        <v>Sal</v>
      </c>
      <c r="W18">
        <v>389</v>
      </c>
      <c r="X18">
        <v>389</v>
      </c>
      <c r="Y18">
        <f>W18+X18</f>
        <v>778</v>
      </c>
      <c r="Z18" t="str">
        <v>1338</v>
      </c>
      <c r="AA18" t="str">
        <v>106994</v>
      </c>
      <c r="AB18" t="str">
        <v>04/08/2026</v>
      </c>
      <c r="AC18" t="str">
        <v>05/08/2026</v>
      </c>
      <c r="AD18">
        <v>33.92</v>
      </c>
      <c r="AE18" t="str">
        <v>-</v>
      </c>
      <c r="AF18">
        <v>0</v>
      </c>
      <c r="AG18">
        <v>0</v>
      </c>
      <c r="AH18">
        <f>AG18-AF18</f>
        <v>0</v>
      </c>
      <c r="AI18">
        <v>0</v>
      </c>
      <c r="AJ18" t="str">
        <v>0012-00887</v>
      </c>
      <c r="AK18" t="str">
        <v>10/08/2026</v>
      </c>
      <c r="AL18" t="str">
        <v>-</v>
      </c>
      <c r="AM18" t="str">
        <v>O/C 4500105259</v>
      </c>
      <c r="AN18">
        <v>33.92</v>
      </c>
      <c r="AO18">
        <v>4254.87</v>
      </c>
      <c r="AP18">
        <f>AN18*AO18</f>
        <v>144325.26</v>
      </c>
      <c r="AQ18">
        <f>AP18*0.21</f>
        <v>30308.3</v>
      </c>
      <c r="AR18">
        <f>AP18+AQ18</f>
        <v>174633.56</v>
      </c>
      <c r="AS18">
        <v>1</v>
      </c>
      <c r="AT18">
        <v>0</v>
      </c>
      <c r="AU18">
        <v>0</v>
      </c>
      <c r="AV18">
        <f>AU18*1.21</f>
        <v>0</v>
      </c>
      <c r="AW18">
        <v>0</v>
      </c>
      <c r="AX18">
        <f>AT18*AU18</f>
        <v>0</v>
      </c>
      <c r="AY18">
        <f>AX18-AW18</f>
        <v>0</v>
      </c>
      <c r="AZ18">
        <f>AP18-AX18</f>
        <v>144325.26</v>
      </c>
      <c r="BA18">
        <f>IF(AP18&gt;0,AZ18/AP18,0)</f>
        <v>1</v>
      </c>
      <c r="BB18" t="str">
        <v>Facturado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f>BF18-BH18</f>
        <v>0</v>
      </c>
      <c r="BJ18">
        <v>0</v>
      </c>
      <c r="BK18" t="str">
        <v>-</v>
      </c>
      <c r="BL18">
        <v>0</v>
      </c>
      <c r="BM18">
        <v>0</v>
      </c>
      <c r="BN18">
        <v>0</v>
      </c>
      <c r="BO18">
        <v>0</v>
      </c>
      <c r="BP18">
        <f>BO18-BN18</f>
        <v>0</v>
      </c>
      <c r="BQ18">
        <f>AP18-BO18</f>
        <v>144325.26</v>
      </c>
    </row>
    <row r="19">
      <c r="A19" t="str">
        <v>TRP-017</v>
      </c>
      <c r="B19">
        <v>2026</v>
      </c>
      <c r="C19">
        <v>9</v>
      </c>
      <c r="D19" t="str">
        <v>sep-26</v>
      </c>
      <c r="E19" t="str">
        <v>ago-26</v>
      </c>
      <c r="F19" t="str">
        <v>04/08/2026</v>
      </c>
      <c r="G19" t="str">
        <v>Propio</v>
      </c>
      <c r="H19" t="str">
        <v>JUAN y MIGUEL</v>
      </c>
      <c r="I19" t="str">
        <v>Sosa Juan</v>
      </c>
      <c r="J19" t="str">
        <v>11</v>
      </c>
      <c r="K19" t="str">
        <v>2</v>
      </c>
      <c r="L19" t="str">
        <v>FIORETTI</v>
      </c>
      <c r="M19" t="str">
        <v/>
      </c>
      <c r="N19" t="str">
        <v>FIORETTI</v>
      </c>
      <c r="O19" t="str">
        <v>209</v>
      </c>
      <c r="P19" t="str">
        <v>San Luis</v>
      </c>
      <c r="Q19" t="str">
        <v>Juan Jorba</v>
      </c>
      <c r="R19" t="str">
        <v>-</v>
      </c>
      <c r="S19" t="str">
        <v>FIORETTI</v>
      </c>
      <c r="T19" t="str">
        <v>San Juan</v>
      </c>
      <c r="U19" t="str">
        <v>Cereales</v>
      </c>
      <c r="V19" t="str">
        <v>Maiz Quebrado</v>
      </c>
      <c r="W19">
        <v>0</v>
      </c>
      <c r="X19">
        <v>0</v>
      </c>
      <c r="Y19">
        <f>W19+X19</f>
        <v>0</v>
      </c>
      <c r="Z19" t="str">
        <v>Pendiente</v>
      </c>
      <c r="AA19" t="str">
        <v>Pendiente</v>
      </c>
      <c r="AB19" t="str">
        <v>04/08/2026</v>
      </c>
      <c r="AC19" t="str">
        <v>18/12/2025</v>
      </c>
      <c r="AD19">
        <v>33.64</v>
      </c>
      <c r="AE19" t="str">
        <v>-</v>
      </c>
      <c r="AF19">
        <v>0</v>
      </c>
      <c r="AG19">
        <v>0</v>
      </c>
      <c r="AH19">
        <f>AG19-AF19</f>
        <v>0</v>
      </c>
      <c r="AI19">
        <v>0</v>
      </c>
      <c r="AJ19" t="str">
        <v>Pendiente</v>
      </c>
      <c r="AK19" t="str">
        <v>Pendiente</v>
      </c>
      <c r="AL19" t="str">
        <v>-</v>
      </c>
      <c r="AM19" t="str">
        <v>-</v>
      </c>
      <c r="AN19">
        <v>0</v>
      </c>
      <c r="AO19">
        <v>0</v>
      </c>
      <c r="AP19">
        <f>AN19*AO19</f>
        <v>0</v>
      </c>
      <c r="AQ19">
        <f>AP19*0.21</f>
        <v>0</v>
      </c>
      <c r="AR19">
        <f>AP19+AQ19</f>
        <v>0</v>
      </c>
      <c r="AS19">
        <v>1</v>
      </c>
      <c r="AT19">
        <v>0</v>
      </c>
      <c r="AU19">
        <v>0</v>
      </c>
      <c r="AV19">
        <f>AU19*1.21</f>
        <v>0</v>
      </c>
      <c r="AW19">
        <v>0</v>
      </c>
      <c r="AX19">
        <f>AT19*AU19</f>
        <v>0</v>
      </c>
      <c r="AY19">
        <f>AX19-AW19</f>
        <v>0</v>
      </c>
      <c r="AZ19">
        <f>AP19-AX19</f>
        <v>0</v>
      </c>
      <c r="BA19">
        <f>IF(AP19&gt;0,AZ19/AP19,0)</f>
        <v>0</v>
      </c>
      <c r="BB19" t="str">
        <v>Pendiente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f>BF19-BH19</f>
        <v>0</v>
      </c>
      <c r="BJ19">
        <v>0</v>
      </c>
      <c r="BK19" t="str">
        <v>-</v>
      </c>
      <c r="BL19">
        <v>0</v>
      </c>
      <c r="BM19">
        <v>0</v>
      </c>
      <c r="BN19">
        <v>0</v>
      </c>
      <c r="BO19">
        <v>0</v>
      </c>
      <c r="BP19">
        <f>BO19-BN19</f>
        <v>0</v>
      </c>
      <c r="BQ19">
        <f>AP19-BO19</f>
        <v>0</v>
      </c>
    </row>
    <row r="20">
      <c r="A20" t="str">
        <v>TRP-018</v>
      </c>
      <c r="B20">
        <v>2026</v>
      </c>
      <c r="C20">
        <v>8</v>
      </c>
      <c r="D20" t="str">
        <v>ago-26</v>
      </c>
      <c r="E20" t="str">
        <v>ago-26</v>
      </c>
      <c r="F20" t="str">
        <v>04/08/2026</v>
      </c>
      <c r="G20" t="str">
        <v>Propio</v>
      </c>
      <c r="H20" t="str">
        <v>JUAN y MIGUEL</v>
      </c>
      <c r="I20" t="str">
        <v>Ledesma</v>
      </c>
      <c r="J20" t="str">
        <v>34</v>
      </c>
      <c r="K20" t="str">
        <v>99</v>
      </c>
      <c r="L20" t="str">
        <v>RONATA</v>
      </c>
      <c r="M20" t="str">
        <v>Tanque</v>
      </c>
      <c r="N20" t="str">
        <v>RONATA</v>
      </c>
      <c r="O20" t="str">
        <v>209</v>
      </c>
      <c r="P20" t="str">
        <v>Cordoba</v>
      </c>
      <c r="Q20" t="str">
        <v>Rio Tercero</v>
      </c>
      <c r="R20" t="str">
        <v>-</v>
      </c>
      <c r="S20" t="str">
        <v>VARTECO SA</v>
      </c>
      <c r="T20" t="str">
        <v>San Luis</v>
      </c>
      <c r="U20" t="str">
        <v>Tanques</v>
      </c>
      <c r="V20" t="str">
        <v>Agua Oxigenada</v>
      </c>
      <c r="W20">
        <v>359</v>
      </c>
      <c r="X20">
        <v>359</v>
      </c>
      <c r="Y20">
        <f>W20+X20</f>
        <v>718</v>
      </c>
      <c r="Z20" t="str">
        <v>61-6087</v>
      </c>
      <c r="AA20" t="str">
        <v>62-78109</v>
      </c>
      <c r="AB20" t="str">
        <v>04/08/2026</v>
      </c>
      <c r="AC20" t="str">
        <v>05/08/2026</v>
      </c>
      <c r="AD20">
        <v>24.92</v>
      </c>
      <c r="AE20" t="str">
        <v>-</v>
      </c>
      <c r="AF20">
        <v>0</v>
      </c>
      <c r="AG20">
        <v>0</v>
      </c>
      <c r="AH20">
        <f>AG20-AF20</f>
        <v>0</v>
      </c>
      <c r="AI20">
        <v>425.79</v>
      </c>
      <c r="AJ20" t="str">
        <v>0012-00889</v>
      </c>
      <c r="AK20" t="str">
        <v>14/08/2026</v>
      </c>
      <c r="AL20" t="str">
        <v>-</v>
      </c>
      <c r="AM20" t="str">
        <v>L26</v>
      </c>
      <c r="AN20">
        <v>1</v>
      </c>
      <c r="AO20">
        <v>152859.82</v>
      </c>
      <c r="AP20">
        <f>AN20*AO20</f>
        <v>152859.82</v>
      </c>
      <c r="AQ20">
        <f>AP20*0.21</f>
        <v>32100.56</v>
      </c>
      <c r="AR20">
        <f>AP20+AQ20</f>
        <v>184960.38</v>
      </c>
      <c r="AS20">
        <v>1</v>
      </c>
      <c r="AT20">
        <v>0</v>
      </c>
      <c r="AU20">
        <v>0</v>
      </c>
      <c r="AV20">
        <f>AU20*1.21</f>
        <v>0</v>
      </c>
      <c r="AW20">
        <v>0</v>
      </c>
      <c r="AX20">
        <f>AT20*AU20</f>
        <v>0</v>
      </c>
      <c r="AY20">
        <f>AX20-AW20</f>
        <v>0</v>
      </c>
      <c r="AZ20">
        <f>AP20-AX20</f>
        <v>152859.82</v>
      </c>
      <c r="BA20">
        <f>IF(AP20&gt;0,AZ20/AP20,0)</f>
        <v>1</v>
      </c>
      <c r="BB20" t="str">
        <v>Facturado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f>BF20-BH20</f>
        <v>0</v>
      </c>
      <c r="BJ20">
        <v>0</v>
      </c>
      <c r="BK20" t="str">
        <v>-</v>
      </c>
      <c r="BL20">
        <v>0</v>
      </c>
      <c r="BM20">
        <v>0</v>
      </c>
      <c r="BN20">
        <v>0</v>
      </c>
      <c r="BO20">
        <v>0</v>
      </c>
      <c r="BP20">
        <f>BO20-BN20</f>
        <v>0</v>
      </c>
      <c r="BQ20">
        <f>AP20-BO20</f>
        <v>152859.82</v>
      </c>
    </row>
    <row r="21">
      <c r="A21" t="str">
        <v>TRP-019</v>
      </c>
      <c r="B21">
        <v>2026</v>
      </c>
      <c r="C21">
        <v>8</v>
      </c>
      <c r="D21" t="str">
        <v>ago-26</v>
      </c>
      <c r="E21" t="str">
        <v>ago-26</v>
      </c>
      <c r="F21" t="str">
        <v>04/08/2026</v>
      </c>
      <c r="G21" t="str">
        <v>Propio</v>
      </c>
      <c r="H21" t="str">
        <v>JUAN y MIGUEL</v>
      </c>
      <c r="I21" t="str">
        <v>Bruni Emilio</v>
      </c>
      <c r="J21" t="str">
        <v>6</v>
      </c>
      <c r="K21" t="str">
        <v>1</v>
      </c>
      <c r="L21" t="str">
        <v>RONATA</v>
      </c>
      <c r="M21" t="str">
        <v>1001</v>
      </c>
      <c r="N21" t="str">
        <v>ABIC</v>
      </c>
      <c r="O21" t="str">
        <v>209</v>
      </c>
      <c r="P21" t="str">
        <v>San Luis</v>
      </c>
      <c r="Q21" t="str">
        <v>Balde</v>
      </c>
      <c r="R21" t="str">
        <v>-</v>
      </c>
      <c r="S21" t="str">
        <v>RONATA</v>
      </c>
      <c r="T21" t="str">
        <v>Rio Tercero</v>
      </c>
      <c r="U21" t="str">
        <v>Sal</v>
      </c>
      <c r="V21" t="str">
        <v>Sal</v>
      </c>
      <c r="W21">
        <v>389</v>
      </c>
      <c r="X21">
        <v>389</v>
      </c>
      <c r="Y21">
        <f>W21+X21</f>
        <v>778</v>
      </c>
      <c r="Z21" t="str">
        <v>1339</v>
      </c>
      <c r="AA21" t="str">
        <v>106597</v>
      </c>
      <c r="AB21" t="str">
        <v>04/08/2026</v>
      </c>
      <c r="AC21" t="str">
        <v>05/08/2026</v>
      </c>
      <c r="AD21">
        <v>32.34</v>
      </c>
      <c r="AE21" t="str">
        <v>-</v>
      </c>
      <c r="AF21">
        <v>0</v>
      </c>
      <c r="AG21">
        <v>0</v>
      </c>
      <c r="AH21">
        <f>AG21-AF21</f>
        <v>0</v>
      </c>
      <c r="AI21">
        <v>0</v>
      </c>
      <c r="AJ21" t="str">
        <v>0012-00887</v>
      </c>
      <c r="AK21" t="str">
        <v>10/08/2026</v>
      </c>
      <c r="AL21" t="str">
        <v>-</v>
      </c>
      <c r="AM21" t="str">
        <v>O/C 4500105259</v>
      </c>
      <c r="AN21">
        <v>32.34</v>
      </c>
      <c r="AO21">
        <v>4254.87</v>
      </c>
      <c r="AP21">
        <f>AN21*AO21</f>
        <v>137602.56</v>
      </c>
      <c r="AQ21">
        <f>AP21*0.21</f>
        <v>28896.54</v>
      </c>
      <c r="AR21">
        <f>AP21+AQ21</f>
        <v>166499.1</v>
      </c>
      <c r="AS21">
        <v>1</v>
      </c>
      <c r="AT21">
        <v>0</v>
      </c>
      <c r="AU21">
        <v>0</v>
      </c>
      <c r="AV21">
        <f>AU21*1.21</f>
        <v>0</v>
      </c>
      <c r="AW21">
        <v>0</v>
      </c>
      <c r="AX21">
        <f>AT21*AU21</f>
        <v>0</v>
      </c>
      <c r="AY21">
        <f>AX21-AW21</f>
        <v>0</v>
      </c>
      <c r="AZ21">
        <f>AP21-AX21</f>
        <v>137602.56</v>
      </c>
      <c r="BA21">
        <f>IF(AP21&gt;0,AZ21/AP21,0)</f>
        <v>1</v>
      </c>
      <c r="BB21" t="str">
        <v>Facturado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f>BF21-BH21</f>
        <v>0</v>
      </c>
      <c r="BJ21">
        <v>0</v>
      </c>
      <c r="BK21" t="str">
        <v>-</v>
      </c>
      <c r="BL21">
        <v>0</v>
      </c>
      <c r="BM21">
        <v>0</v>
      </c>
      <c r="BN21">
        <v>0</v>
      </c>
      <c r="BO21">
        <v>0</v>
      </c>
      <c r="BP21">
        <f>BO21-BN21</f>
        <v>0</v>
      </c>
      <c r="BQ21">
        <f>AP21-BO21</f>
        <v>137602.56</v>
      </c>
    </row>
    <row r="22">
      <c r="A22" t="str">
        <v>TRP-020</v>
      </c>
      <c r="B22">
        <v>2026</v>
      </c>
      <c r="C22">
        <v>8</v>
      </c>
      <c r="D22" t="str">
        <v>ago-26</v>
      </c>
      <c r="E22" t="str">
        <v>ago-26</v>
      </c>
      <c r="F22" t="str">
        <v>04/08/2026</v>
      </c>
      <c r="G22" t="str">
        <v>Fletero</v>
      </c>
      <c r="H22" t="str">
        <v>Barrilin Roberto</v>
      </c>
      <c r="I22" t="str">
        <v>Barrilin Roberto</v>
      </c>
      <c r="J22" t="str">
        <v>301</v>
      </c>
      <c r="K22" t="str">
        <v>1</v>
      </c>
      <c r="L22" t="str">
        <v>ALACAL SRL</v>
      </c>
      <c r="M22" t="str">
        <v>1690</v>
      </c>
      <c r="N22" t="str">
        <v>GRUPO A SA</v>
      </c>
      <c r="O22" t="str">
        <v>209</v>
      </c>
      <c r="P22" t="str">
        <v>Cordoba</v>
      </c>
      <c r="Q22" t="str">
        <v>Rio Cuarto</v>
      </c>
      <c r="R22" t="str">
        <v>-</v>
      </c>
      <c r="S22" t="str">
        <v>ITALIANOS SA</v>
      </c>
      <c r="T22" t="str">
        <v>San Luis</v>
      </c>
      <c r="U22" t="str">
        <v>Cereales</v>
      </c>
      <c r="V22" t="str">
        <v>Desechos de Maiz</v>
      </c>
      <c r="W22">
        <v>0</v>
      </c>
      <c r="X22">
        <v>0</v>
      </c>
      <c r="Y22">
        <f>W22+X22</f>
        <v>0</v>
      </c>
      <c r="Z22" t="str">
        <v>2035-122945</v>
      </c>
      <c r="AA22" t="str">
        <v>107078</v>
      </c>
      <c r="AB22" t="str">
        <v>04/08/2026</v>
      </c>
      <c r="AC22" t="str">
        <v>05/08/2026</v>
      </c>
      <c r="AD22">
        <v>31.62</v>
      </c>
      <c r="AE22" t="str">
        <v>-</v>
      </c>
      <c r="AF22">
        <v>0</v>
      </c>
      <c r="AG22">
        <v>0</v>
      </c>
      <c r="AH22">
        <f>AG22-AF22</f>
        <v>0</v>
      </c>
      <c r="AI22">
        <v>0</v>
      </c>
      <c r="AJ22" t="str">
        <v>12-5227</v>
      </c>
      <c r="AK22" t="str">
        <v>10/08/2026</v>
      </c>
      <c r="AL22" t="str">
        <v>-</v>
      </c>
      <c r="AM22" t="str">
        <v>-</v>
      </c>
      <c r="AN22">
        <v>31.62</v>
      </c>
      <c r="AO22">
        <v>1650</v>
      </c>
      <c r="AP22">
        <f>AN22*AO22</f>
        <v>52173</v>
      </c>
      <c r="AQ22">
        <f>AP22*0.21</f>
        <v>10956.33</v>
      </c>
      <c r="AR22">
        <f>AP22+AQ22</f>
        <v>63129.33</v>
      </c>
      <c r="AS22">
        <v>0.27</v>
      </c>
      <c r="AT22">
        <v>31.62</v>
      </c>
      <c r="AU22">
        <v>1210</v>
      </c>
      <c r="AV22">
        <f>AU22*1.21</f>
        <v>1464.1</v>
      </c>
      <c r="AW22">
        <v>0</v>
      </c>
      <c r="AX22">
        <f>AT22*AU22</f>
        <v>38260.2</v>
      </c>
      <c r="AY22">
        <f>AX22-AW22</f>
        <v>0</v>
      </c>
      <c r="AZ22">
        <f>AP22-AX22</f>
        <v>13912.8</v>
      </c>
      <c r="BA22">
        <f>IF(AP22&gt;0,AZ22/AP22,0)</f>
        <v>0.27</v>
      </c>
      <c r="BB22" t="str">
        <v>Facturado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f>BF22-BH22</f>
        <v>0</v>
      </c>
      <c r="BJ22">
        <v>0</v>
      </c>
      <c r="BK22" t="str">
        <v>-</v>
      </c>
      <c r="BL22">
        <v>0</v>
      </c>
      <c r="BM22">
        <v>0</v>
      </c>
      <c r="BN22">
        <v>0</v>
      </c>
      <c r="BO22">
        <v>0</v>
      </c>
      <c r="BP22">
        <f>BO22-BN22</f>
        <v>0</v>
      </c>
      <c r="BQ22">
        <f>AP22-BO22</f>
        <v>13912.8</v>
      </c>
    </row>
    <row r="23">
      <c r="A23" t="str">
        <v>TRP-021</v>
      </c>
      <c r="B23">
        <v>2026</v>
      </c>
      <c r="C23">
        <v>8</v>
      </c>
      <c r="D23" t="str">
        <v>ago-26</v>
      </c>
      <c r="E23" t="str">
        <v>ago-26</v>
      </c>
      <c r="F23" t="str">
        <v>04/08/2026</v>
      </c>
      <c r="G23" t="str">
        <v>Fletero</v>
      </c>
      <c r="H23" t="str">
        <v>Lucero</v>
      </c>
      <c r="I23" t="str">
        <v>Lucero Mauricio</v>
      </c>
      <c r="J23" t="str">
        <v>601</v>
      </c>
      <c r="K23" t="str">
        <v>1</v>
      </c>
      <c r="L23" t="str">
        <v>RONATA</v>
      </c>
      <c r="M23" t="str">
        <v>1001</v>
      </c>
      <c r="N23" t="str">
        <v>ABIC</v>
      </c>
      <c r="O23" t="str">
        <v>209</v>
      </c>
      <c r="P23" t="str">
        <v>San Luis</v>
      </c>
      <c r="Q23" t="str">
        <v>Balde</v>
      </c>
      <c r="R23" t="str">
        <v>-</v>
      </c>
      <c r="S23" t="str">
        <v>RONATA</v>
      </c>
      <c r="T23" t="str">
        <v>Rio Tercero</v>
      </c>
      <c r="U23" t="str">
        <v>Sal</v>
      </c>
      <c r="V23" t="str">
        <v>Sal</v>
      </c>
      <c r="W23">
        <v>389</v>
      </c>
      <c r="X23">
        <v>389</v>
      </c>
      <c r="Y23">
        <f>W23+X23</f>
        <v>778</v>
      </c>
      <c r="Z23" t="str">
        <v>1344</v>
      </c>
      <c r="AA23" t="str">
        <v>107084</v>
      </c>
      <c r="AB23" t="str">
        <v>04/08/2026</v>
      </c>
      <c r="AC23" t="str">
        <v>05/08/2026</v>
      </c>
      <c r="AD23">
        <v>28.74</v>
      </c>
      <c r="AE23" t="str">
        <v>-</v>
      </c>
      <c r="AF23">
        <v>0</v>
      </c>
      <c r="AG23">
        <v>0</v>
      </c>
      <c r="AH23">
        <f>AG23-AF23</f>
        <v>0</v>
      </c>
      <c r="AI23">
        <v>0</v>
      </c>
      <c r="AJ23" t="str">
        <v>0012-00887</v>
      </c>
      <c r="AK23" t="str">
        <v>10/08/2026</v>
      </c>
      <c r="AL23" t="str">
        <v>-</v>
      </c>
      <c r="AM23" t="str">
        <v>O/C 4500105259</v>
      </c>
      <c r="AN23">
        <v>28.74</v>
      </c>
      <c r="AO23">
        <v>4254.87</v>
      </c>
      <c r="AP23">
        <f>AN23*AO23</f>
        <v>122285.02</v>
      </c>
      <c r="AQ23">
        <f>AP23*0.21</f>
        <v>25679.85</v>
      </c>
      <c r="AR23">
        <f>AP23+AQ23</f>
        <v>147964.88</v>
      </c>
      <c r="AS23">
        <v>0.27</v>
      </c>
      <c r="AT23">
        <v>28.74</v>
      </c>
      <c r="AU23">
        <v>2904.03</v>
      </c>
      <c r="AV23">
        <f>AU23*1.21</f>
        <v>3513.8763000000004</v>
      </c>
      <c r="AW23">
        <v>0</v>
      </c>
      <c r="AX23">
        <f>AT23*AU23</f>
        <v>83461.7</v>
      </c>
      <c r="AY23">
        <f>AX23-AW23</f>
        <v>0</v>
      </c>
      <c r="AZ23">
        <f>AP23-AX23</f>
        <v>38823.32</v>
      </c>
      <c r="BA23">
        <f>IF(AP23&gt;0,AZ23/AP23,0)</f>
        <v>0.32</v>
      </c>
      <c r="BB23" t="str">
        <v>Facturado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f>BF23-BH23</f>
        <v>0</v>
      </c>
      <c r="BJ23">
        <v>0</v>
      </c>
      <c r="BK23" t="str">
        <v>-</v>
      </c>
      <c r="BL23">
        <v>0</v>
      </c>
      <c r="BM23">
        <v>0</v>
      </c>
      <c r="BN23">
        <v>0</v>
      </c>
      <c r="BO23">
        <v>0</v>
      </c>
      <c r="BP23">
        <f>BO23-BN23</f>
        <v>0</v>
      </c>
      <c r="BQ23">
        <f>AP23-BO23</f>
        <v>38823.32</v>
      </c>
    </row>
    <row r="24">
      <c r="A24" t="str">
        <v>TRP-022</v>
      </c>
      <c r="B24">
        <v>2026</v>
      </c>
      <c r="C24">
        <v>8</v>
      </c>
      <c r="D24" t="str">
        <v>ago-26</v>
      </c>
      <c r="E24" t="str">
        <v>ago-26</v>
      </c>
      <c r="F24" t="str">
        <v>04/08/2026</v>
      </c>
      <c r="G24" t="str">
        <v>Fletero</v>
      </c>
      <c r="H24" t="str">
        <v>Martinez</v>
      </c>
      <c r="I24" t="str">
        <v>Martinez Nestor</v>
      </c>
      <c r="J24" t="str">
        <v>501</v>
      </c>
      <c r="K24" t="str">
        <v>1</v>
      </c>
      <c r="L24" t="str">
        <v>RONATA</v>
      </c>
      <c r="M24" t="str">
        <v>1001</v>
      </c>
      <c r="N24" t="str">
        <v>ABIC</v>
      </c>
      <c r="O24" t="str">
        <v>209</v>
      </c>
      <c r="P24" t="str">
        <v>San Luis</v>
      </c>
      <c r="Q24" t="str">
        <v>Balde</v>
      </c>
      <c r="R24" t="str">
        <v>-</v>
      </c>
      <c r="S24" t="str">
        <v>RONATA</v>
      </c>
      <c r="T24" t="str">
        <v>Rio Tercero</v>
      </c>
      <c r="U24" t="str">
        <v>Sal</v>
      </c>
      <c r="V24" t="str">
        <v>Sal</v>
      </c>
      <c r="W24">
        <v>389</v>
      </c>
      <c r="X24">
        <v>389</v>
      </c>
      <c r="Y24">
        <f>W24+X24</f>
        <v>778</v>
      </c>
      <c r="Z24" t="str">
        <v>1346</v>
      </c>
      <c r="AA24" t="str">
        <v>107101</v>
      </c>
      <c r="AB24" t="str">
        <v>04/08/2026</v>
      </c>
      <c r="AC24" t="str">
        <v>05/08/2026</v>
      </c>
      <c r="AD24">
        <v>34.36</v>
      </c>
      <c r="AE24" t="str">
        <v>-</v>
      </c>
      <c r="AF24">
        <v>0</v>
      </c>
      <c r="AG24">
        <v>0</v>
      </c>
      <c r="AH24">
        <f>AG24-AF24</f>
        <v>0</v>
      </c>
      <c r="AI24">
        <v>0</v>
      </c>
      <c r="AJ24" t="str">
        <v>0012-00887</v>
      </c>
      <c r="AK24" t="str">
        <v>10/08/2026</v>
      </c>
      <c r="AL24" t="str">
        <v>-</v>
      </c>
      <c r="AM24" t="str">
        <v>O/C 4500105259</v>
      </c>
      <c r="AN24">
        <v>34.36</v>
      </c>
      <c r="AO24">
        <v>4254.87</v>
      </c>
      <c r="AP24">
        <f>AN24*AO24</f>
        <v>146197.4</v>
      </c>
      <c r="AQ24">
        <f>AP24*0.21</f>
        <v>30701.45</v>
      </c>
      <c r="AR24">
        <f>AP24+AQ24</f>
        <v>176898.86</v>
      </c>
      <c r="AS24">
        <v>0.27</v>
      </c>
      <c r="AT24">
        <v>34.36</v>
      </c>
      <c r="AU24">
        <v>2904.03</v>
      </c>
      <c r="AV24">
        <f>AU24*1.21</f>
        <v>3513.8763000000004</v>
      </c>
      <c r="AW24">
        <v>0</v>
      </c>
      <c r="AX24">
        <f>AT24*AU24</f>
        <v>99782.32</v>
      </c>
      <c r="AY24">
        <f>AX24-AW24</f>
        <v>0</v>
      </c>
      <c r="AZ24">
        <f>AP24-AX24</f>
        <v>46415.08</v>
      </c>
      <c r="BA24">
        <f>IF(AP24&gt;0,AZ24/AP24,0)</f>
        <v>0.32</v>
      </c>
      <c r="BB24" t="str">
        <v>Facturado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f>BF24-BH24</f>
        <v>0</v>
      </c>
      <c r="BJ24">
        <v>0</v>
      </c>
      <c r="BK24" t="str">
        <v>-</v>
      </c>
      <c r="BL24">
        <v>0</v>
      </c>
      <c r="BM24">
        <v>0</v>
      </c>
      <c r="BN24">
        <v>0</v>
      </c>
      <c r="BO24">
        <v>0</v>
      </c>
      <c r="BP24">
        <f>BO24-BN24</f>
        <v>0</v>
      </c>
      <c r="BQ24">
        <f>AP24-BO24</f>
        <v>46415.08</v>
      </c>
    </row>
    <row r="25">
      <c r="A25" t="str">
        <v>TRP-023</v>
      </c>
      <c r="B25">
        <v>2026</v>
      </c>
      <c r="C25">
        <v>8</v>
      </c>
      <c r="D25" t="str">
        <v>ago-26</v>
      </c>
      <c r="E25" t="str">
        <v>ago-26</v>
      </c>
      <c r="F25" t="str">
        <v>05/08/2026</v>
      </c>
      <c r="G25" t="str">
        <v>Propio</v>
      </c>
      <c r="H25" t="str">
        <v>JUAN y MIGUEL</v>
      </c>
      <c r="I25" t="str">
        <v>Rivarola Jorge</v>
      </c>
      <c r="J25" t="str">
        <v>15</v>
      </c>
      <c r="K25" t="str">
        <v>1</v>
      </c>
      <c r="L25" t="str">
        <v>RONATA</v>
      </c>
      <c r="M25" t="str">
        <v>1001</v>
      </c>
      <c r="N25" t="str">
        <v>ABIC</v>
      </c>
      <c r="O25" t="str">
        <v>209</v>
      </c>
      <c r="P25" t="str">
        <v>San Luis</v>
      </c>
      <c r="Q25" t="str">
        <v>Balde</v>
      </c>
      <c r="R25" t="str">
        <v>-</v>
      </c>
      <c r="S25" t="str">
        <v>RONATA</v>
      </c>
      <c r="T25" t="str">
        <v>Rio Tercero</v>
      </c>
      <c r="U25" t="str">
        <v>Sal</v>
      </c>
      <c r="V25" t="str">
        <v>Sal</v>
      </c>
      <c r="W25">
        <v>389</v>
      </c>
      <c r="X25">
        <v>389</v>
      </c>
      <c r="Y25">
        <f>W25+X25</f>
        <v>778</v>
      </c>
      <c r="Z25" t="str">
        <v>1350</v>
      </c>
      <c r="AA25" t="str">
        <v>107126</v>
      </c>
      <c r="AB25" t="str">
        <v>05/08/2026</v>
      </c>
      <c r="AC25" t="str">
        <v>06/08/2026</v>
      </c>
      <c r="AD25">
        <v>34.78</v>
      </c>
      <c r="AE25" t="str">
        <v>-</v>
      </c>
      <c r="AF25">
        <v>0</v>
      </c>
      <c r="AG25">
        <v>0</v>
      </c>
      <c r="AH25">
        <f>AG25-AF25</f>
        <v>0</v>
      </c>
      <c r="AI25">
        <v>0</v>
      </c>
      <c r="AJ25" t="str">
        <v>0012-00887</v>
      </c>
      <c r="AK25" t="str">
        <v>10/08/2026</v>
      </c>
      <c r="AL25" t="str">
        <v>-</v>
      </c>
      <c r="AM25" t="str">
        <v>O/C 4500105259</v>
      </c>
      <c r="AN25">
        <v>34.78</v>
      </c>
      <c r="AO25">
        <v>4254.87</v>
      </c>
      <c r="AP25">
        <f>AN25*AO25</f>
        <v>147984.45</v>
      </c>
      <c r="AQ25">
        <f>AP25*0.21</f>
        <v>31076.73</v>
      </c>
      <c r="AR25">
        <f>AP25+AQ25</f>
        <v>179061.18</v>
      </c>
      <c r="AS25">
        <v>1</v>
      </c>
      <c r="AT25">
        <v>0</v>
      </c>
      <c r="AU25">
        <v>0</v>
      </c>
      <c r="AV25">
        <f>AU25*1.21</f>
        <v>0</v>
      </c>
      <c r="AW25">
        <v>0</v>
      </c>
      <c r="AX25">
        <f>AT25*AU25</f>
        <v>0</v>
      </c>
      <c r="AY25">
        <f>AX25-AW25</f>
        <v>0</v>
      </c>
      <c r="AZ25">
        <f>AP25-AX25</f>
        <v>147984.45</v>
      </c>
      <c r="BA25">
        <f>IF(AP25&gt;0,AZ25/AP25,0)</f>
        <v>1</v>
      </c>
      <c r="BB25" t="str">
        <v>Facturado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f>BF25-BH25</f>
        <v>0</v>
      </c>
      <c r="BJ25">
        <v>0</v>
      </c>
      <c r="BK25" t="str">
        <v>-</v>
      </c>
      <c r="BL25">
        <v>0</v>
      </c>
      <c r="BM25">
        <v>0</v>
      </c>
      <c r="BN25">
        <v>0</v>
      </c>
      <c r="BO25">
        <v>0</v>
      </c>
      <c r="BP25">
        <f>BO25-BN25</f>
        <v>0</v>
      </c>
      <c r="BQ25">
        <f>AP25-BO25</f>
        <v>147984.45</v>
      </c>
    </row>
    <row r="26">
      <c r="A26" t="str">
        <v>TRP-024</v>
      </c>
      <c r="B26">
        <v>2026</v>
      </c>
      <c r="C26">
        <v>8</v>
      </c>
      <c r="D26" t="str">
        <v>ago-26</v>
      </c>
      <c r="E26" t="str">
        <v>ago-26</v>
      </c>
      <c r="F26" t="str">
        <v>05/08/2026</v>
      </c>
      <c r="G26" t="str">
        <v>Propio</v>
      </c>
      <c r="H26" t="str">
        <v>JUAN y MIGUEL</v>
      </c>
      <c r="I26" t="str">
        <v>Lopez Maximiliano</v>
      </c>
      <c r="J26" t="str">
        <v>5</v>
      </c>
      <c r="K26" t="str">
        <v>1</v>
      </c>
      <c r="L26" t="str">
        <v>ALACAL SRL</v>
      </c>
      <c r="M26" t="str">
        <v>1690</v>
      </c>
      <c r="N26" t="str">
        <v>GRUPO A SA</v>
      </c>
      <c r="O26" t="str">
        <v>209</v>
      </c>
      <c r="P26" t="str">
        <v>Cordoba</v>
      </c>
      <c r="Q26" t="str">
        <v>Rio Cuarto</v>
      </c>
      <c r="R26" t="str">
        <v>-</v>
      </c>
      <c r="S26" t="str">
        <v>ITALIANOS SA</v>
      </c>
      <c r="T26" t="str">
        <v>San Luis</v>
      </c>
      <c r="U26" t="str">
        <v>Cereales</v>
      </c>
      <c r="V26" t="str">
        <v>Desechos de Maiz</v>
      </c>
      <c r="W26">
        <v>0</v>
      </c>
      <c r="X26">
        <v>0</v>
      </c>
      <c r="Y26">
        <f>W26+X26</f>
        <v>0</v>
      </c>
      <c r="Z26" t="str">
        <v>2038-147206</v>
      </c>
      <c r="AA26" t="str">
        <v>106995</v>
      </c>
      <c r="AB26" t="str">
        <v>05/08/2026</v>
      </c>
      <c r="AC26" t="str">
        <v>06/08/2026</v>
      </c>
      <c r="AD26">
        <v>30.92</v>
      </c>
      <c r="AE26" t="str">
        <v>-</v>
      </c>
      <c r="AF26">
        <v>0</v>
      </c>
      <c r="AG26">
        <v>0</v>
      </c>
      <c r="AH26">
        <f>AG26-AF26</f>
        <v>0</v>
      </c>
      <c r="AI26">
        <v>0</v>
      </c>
      <c r="AJ26" t="str">
        <v>12-5230</v>
      </c>
      <c r="AK26" t="str">
        <v>14/08/2026</v>
      </c>
      <c r="AL26" t="str">
        <v>-</v>
      </c>
      <c r="AM26" t="str">
        <v>-</v>
      </c>
      <c r="AN26">
        <v>30.92</v>
      </c>
      <c r="AO26">
        <v>1650</v>
      </c>
      <c r="AP26">
        <f>AN26*AO26</f>
        <v>51018</v>
      </c>
      <c r="AQ26">
        <f>AP26*0.21</f>
        <v>10713.78</v>
      </c>
      <c r="AR26">
        <f>AP26+AQ26</f>
        <v>61731.78</v>
      </c>
      <c r="AS26">
        <v>1</v>
      </c>
      <c r="AT26">
        <v>0</v>
      </c>
      <c r="AU26">
        <v>0</v>
      </c>
      <c r="AV26">
        <f>AU26*1.21</f>
        <v>0</v>
      </c>
      <c r="AW26">
        <v>0</v>
      </c>
      <c r="AX26">
        <f>AT26*AU26</f>
        <v>0</v>
      </c>
      <c r="AY26">
        <f>AX26-AW26</f>
        <v>0</v>
      </c>
      <c r="AZ26">
        <f>AP26-AX26</f>
        <v>51018</v>
      </c>
      <c r="BA26">
        <f>IF(AP26&gt;0,AZ26/AP26,0)</f>
        <v>1</v>
      </c>
      <c r="BB26" t="str">
        <v>Facturado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f>BF26-BH26</f>
        <v>0</v>
      </c>
      <c r="BJ26">
        <v>0</v>
      </c>
      <c r="BK26" t="str">
        <v>-</v>
      </c>
      <c r="BL26">
        <v>0</v>
      </c>
      <c r="BM26">
        <v>0</v>
      </c>
      <c r="BN26">
        <v>0</v>
      </c>
      <c r="BO26">
        <v>0</v>
      </c>
      <c r="BP26">
        <f>BO26-BN26</f>
        <v>0</v>
      </c>
      <c r="BQ26">
        <f>AP26-BO26</f>
        <v>51018</v>
      </c>
    </row>
    <row r="27">
      <c r="A27" t="str">
        <v>TRP-025</v>
      </c>
      <c r="B27">
        <v>2026</v>
      </c>
      <c r="C27">
        <v>8</v>
      </c>
      <c r="D27" t="str">
        <v>ago-26</v>
      </c>
      <c r="E27" t="str">
        <v>ago-26</v>
      </c>
      <c r="F27" t="str">
        <v>05/08/2026</v>
      </c>
      <c r="G27" t="str">
        <v>Propio</v>
      </c>
      <c r="H27" t="str">
        <v>JUAN y MIGUEL</v>
      </c>
      <c r="I27" t="str">
        <v>Moreno Mauro</v>
      </c>
      <c r="J27" t="str">
        <v>8</v>
      </c>
      <c r="K27" t="str">
        <v>1</v>
      </c>
      <c r="L27" t="str">
        <v>RONATA</v>
      </c>
      <c r="M27" t="str">
        <v>1001</v>
      </c>
      <c r="N27" t="str">
        <v>ABIC</v>
      </c>
      <c r="O27" t="str">
        <v>209</v>
      </c>
      <c r="P27" t="str">
        <v>San Luis</v>
      </c>
      <c r="Q27" t="str">
        <v>Balde</v>
      </c>
      <c r="R27" t="str">
        <v>-</v>
      </c>
      <c r="S27" t="str">
        <v>RONATA</v>
      </c>
      <c r="T27" t="str">
        <v>Rio Tercero</v>
      </c>
      <c r="U27" t="str">
        <v>Sal</v>
      </c>
      <c r="V27" t="str">
        <v>Sal</v>
      </c>
      <c r="W27">
        <v>389</v>
      </c>
      <c r="X27">
        <v>389</v>
      </c>
      <c r="Y27">
        <f>W27+X27</f>
        <v>778</v>
      </c>
      <c r="Z27" t="str">
        <v>1349</v>
      </c>
      <c r="AA27" t="str">
        <v>106791</v>
      </c>
      <c r="AB27" t="str">
        <v>05/08/2026</v>
      </c>
      <c r="AC27" t="str">
        <v>06/08/2026</v>
      </c>
      <c r="AD27">
        <v>28.1</v>
      </c>
      <c r="AE27" t="str">
        <v>-</v>
      </c>
      <c r="AF27">
        <v>0</v>
      </c>
      <c r="AG27">
        <v>0</v>
      </c>
      <c r="AH27">
        <f>AG27-AF27</f>
        <v>0</v>
      </c>
      <c r="AI27">
        <v>0</v>
      </c>
      <c r="AJ27" t="str">
        <v>0012-00887</v>
      </c>
      <c r="AK27" t="str">
        <v>10/08/2026</v>
      </c>
      <c r="AL27" t="str">
        <v>-</v>
      </c>
      <c r="AM27" t="str">
        <v>O/C 4500105259</v>
      </c>
      <c r="AN27">
        <v>28.1</v>
      </c>
      <c r="AO27">
        <v>4254.87</v>
      </c>
      <c r="AP27">
        <f>AN27*AO27</f>
        <v>119561.9</v>
      </c>
      <c r="AQ27">
        <f>AP27*0.21</f>
        <v>25108</v>
      </c>
      <c r="AR27">
        <f>AP27+AQ27</f>
        <v>144669.9</v>
      </c>
      <c r="AS27">
        <v>1</v>
      </c>
      <c r="AT27">
        <v>0</v>
      </c>
      <c r="AU27">
        <v>0</v>
      </c>
      <c r="AV27">
        <f>AU27*1.21</f>
        <v>0</v>
      </c>
      <c r="AW27">
        <v>0</v>
      </c>
      <c r="AX27">
        <f>AT27*AU27</f>
        <v>0</v>
      </c>
      <c r="AY27">
        <f>AX27-AW27</f>
        <v>0</v>
      </c>
      <c r="AZ27">
        <f>AP27-AX27</f>
        <v>119561.9</v>
      </c>
      <c r="BA27">
        <f>IF(AP27&gt;0,AZ27/AP27,0)</f>
        <v>1</v>
      </c>
      <c r="BB27" t="str">
        <v>Facturado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f>BF27-BH27</f>
        <v>0</v>
      </c>
      <c r="BJ27">
        <v>0</v>
      </c>
      <c r="BK27" t="str">
        <v>-</v>
      </c>
      <c r="BL27">
        <v>0</v>
      </c>
      <c r="BM27">
        <v>0</v>
      </c>
      <c r="BN27">
        <v>0</v>
      </c>
      <c r="BO27">
        <v>0</v>
      </c>
      <c r="BP27">
        <f>BO27-BN27</f>
        <v>0</v>
      </c>
      <c r="BQ27">
        <f>AP27-BO27</f>
        <v>119561.9</v>
      </c>
    </row>
    <row r="28">
      <c r="A28" t="str">
        <v>TRP-026</v>
      </c>
      <c r="B28">
        <v>2026</v>
      </c>
      <c r="C28">
        <v>8</v>
      </c>
      <c r="D28" t="str">
        <v>ago-26</v>
      </c>
      <c r="E28" t="str">
        <v>ago-26</v>
      </c>
      <c r="F28" t="str">
        <v>05/08/2026</v>
      </c>
      <c r="G28" t="str">
        <v>Propio</v>
      </c>
      <c r="H28" t="str">
        <v>JUAN y MIGUEL</v>
      </c>
      <c r="I28" t="str">
        <v>Cejas Antonio</v>
      </c>
      <c r="J28" t="str">
        <v>12</v>
      </c>
      <c r="K28" t="str">
        <v>1</v>
      </c>
      <c r="L28" t="str">
        <v>ABIC</v>
      </c>
      <c r="M28" t="str">
        <v>1701</v>
      </c>
      <c r="N28" t="str">
        <v>ABIC</v>
      </c>
      <c r="O28" t="str">
        <v>209</v>
      </c>
      <c r="P28" t="str">
        <v>San Luis</v>
      </c>
      <c r="Q28" t="str">
        <v>Balde</v>
      </c>
      <c r="R28" t="str">
        <v>-</v>
      </c>
      <c r="S28" t="str">
        <v>ABIC</v>
      </c>
      <c r="T28" t="str">
        <v>Macachin</v>
      </c>
      <c r="U28" t="str">
        <v>Sal</v>
      </c>
      <c r="V28" t="str">
        <v>Sal</v>
      </c>
      <c r="W28">
        <v>680</v>
      </c>
      <c r="X28">
        <v>680</v>
      </c>
      <c r="Y28">
        <f>W28+X28</f>
        <v>1360</v>
      </c>
      <c r="Z28" t="str">
        <v>159591-64961</v>
      </c>
      <c r="AA28" t="str">
        <v>107033</v>
      </c>
      <c r="AB28" t="str">
        <v>05/08/2026</v>
      </c>
      <c r="AC28" t="str">
        <v>06/08/2026</v>
      </c>
      <c r="AD28">
        <v>32.84</v>
      </c>
      <c r="AE28" t="str">
        <v>-</v>
      </c>
      <c r="AF28">
        <v>0</v>
      </c>
      <c r="AG28">
        <v>0</v>
      </c>
      <c r="AH28">
        <f>AG28-AF28</f>
        <v>0</v>
      </c>
      <c r="AI28">
        <v>283.6</v>
      </c>
      <c r="AJ28" t="str">
        <v>12-5223</v>
      </c>
      <c r="AK28" t="str">
        <v>08/08/2026</v>
      </c>
      <c r="AL28" t="str">
        <v>-</v>
      </c>
      <c r="AM28" t="str">
        <v>Adeudado</v>
      </c>
      <c r="AN28">
        <v>1</v>
      </c>
      <c r="AO28">
        <v>192848</v>
      </c>
      <c r="AP28">
        <f>AN28*AO28</f>
        <v>192848</v>
      </c>
      <c r="AQ28">
        <f>AP28*0.21</f>
        <v>40498.08</v>
      </c>
      <c r="AR28">
        <f>AP28+AQ28</f>
        <v>233346.08</v>
      </c>
      <c r="AS28">
        <v>1</v>
      </c>
      <c r="AT28">
        <v>0</v>
      </c>
      <c r="AU28">
        <v>0</v>
      </c>
      <c r="AV28">
        <f>AU28*1.21</f>
        <v>0</v>
      </c>
      <c r="AW28">
        <v>0</v>
      </c>
      <c r="AX28">
        <f>AT28*AU28</f>
        <v>0</v>
      </c>
      <c r="AY28">
        <f>AX28-AW28</f>
        <v>0</v>
      </c>
      <c r="AZ28">
        <f>AP28-AX28</f>
        <v>192848</v>
      </c>
      <c r="BA28">
        <f>IF(AP28&gt;0,AZ28/AP28,0)</f>
        <v>1</v>
      </c>
      <c r="BB28" t="str">
        <v>Facturado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f>BF28-BH28</f>
        <v>0</v>
      </c>
      <c r="BJ28">
        <v>0</v>
      </c>
      <c r="BK28" t="str">
        <v>-</v>
      </c>
      <c r="BL28">
        <v>0</v>
      </c>
      <c r="BM28">
        <v>0</v>
      </c>
      <c r="BN28">
        <v>0</v>
      </c>
      <c r="BO28">
        <v>0</v>
      </c>
      <c r="BP28">
        <f>BO28-BN28</f>
        <v>0</v>
      </c>
      <c r="BQ28">
        <f>AP28-BO28</f>
        <v>192848</v>
      </c>
    </row>
    <row r="29">
      <c r="A29" t="str">
        <v>TRP-027</v>
      </c>
      <c r="B29">
        <v>2026</v>
      </c>
      <c r="C29">
        <v>8</v>
      </c>
      <c r="D29" t="str">
        <v>ago-26</v>
      </c>
      <c r="E29" t="str">
        <v>ago-26</v>
      </c>
      <c r="F29" t="str">
        <v>05/08/2026</v>
      </c>
      <c r="G29" t="str">
        <v>Propio</v>
      </c>
      <c r="H29" t="str">
        <v>JUAN y MIGUEL</v>
      </c>
      <c r="I29" t="str">
        <v>Ruben Martin</v>
      </c>
      <c r="J29" t="str">
        <v>10</v>
      </c>
      <c r="K29" t="str">
        <v>1</v>
      </c>
      <c r="L29" t="str">
        <v>RONATA</v>
      </c>
      <c r="M29" t="str">
        <v>1001</v>
      </c>
      <c r="N29" t="str">
        <v>ABIC</v>
      </c>
      <c r="O29" t="str">
        <v>209</v>
      </c>
      <c r="P29" t="str">
        <v>San Luis</v>
      </c>
      <c r="Q29" t="str">
        <v>Balde</v>
      </c>
      <c r="R29" t="str">
        <v>-</v>
      </c>
      <c r="S29" t="str">
        <v>RONATA</v>
      </c>
      <c r="T29" t="str">
        <v>Rio Tercero</v>
      </c>
      <c r="U29" t="str">
        <v>Sal</v>
      </c>
      <c r="V29" t="str">
        <v>Sal</v>
      </c>
      <c r="W29">
        <v>389</v>
      </c>
      <c r="X29">
        <v>389</v>
      </c>
      <c r="Y29">
        <f>W29+X29</f>
        <v>778</v>
      </c>
      <c r="Z29" t="str">
        <v>1352</v>
      </c>
      <c r="AA29" t="str">
        <v>106920</v>
      </c>
      <c r="AB29" t="str">
        <v>05/08/2026</v>
      </c>
      <c r="AC29" t="str">
        <v>06/08/2026</v>
      </c>
      <c r="AD29">
        <v>32.36</v>
      </c>
      <c r="AE29" t="str">
        <v>-</v>
      </c>
      <c r="AF29">
        <v>0</v>
      </c>
      <c r="AG29">
        <v>0</v>
      </c>
      <c r="AH29">
        <f>AG29-AF29</f>
        <v>0</v>
      </c>
      <c r="AI29">
        <v>0</v>
      </c>
      <c r="AJ29" t="str">
        <v>0012-00887</v>
      </c>
      <c r="AK29" t="str">
        <v>10/08/2026</v>
      </c>
      <c r="AL29" t="str">
        <v>-</v>
      </c>
      <c r="AM29" t="str">
        <v>O/C 4500105259</v>
      </c>
      <c r="AN29">
        <v>32.36</v>
      </c>
      <c r="AO29">
        <v>4254.87</v>
      </c>
      <c r="AP29">
        <f>AN29*AO29</f>
        <v>137687.66</v>
      </c>
      <c r="AQ29">
        <f>AP29*0.21</f>
        <v>28914.41</v>
      </c>
      <c r="AR29">
        <f>AP29+AQ29</f>
        <v>166602.07</v>
      </c>
      <c r="AS29">
        <v>1</v>
      </c>
      <c r="AT29">
        <v>0</v>
      </c>
      <c r="AU29">
        <v>0</v>
      </c>
      <c r="AV29">
        <f>AU29*1.21</f>
        <v>0</v>
      </c>
      <c r="AW29">
        <v>0</v>
      </c>
      <c r="AX29">
        <f>AT29*AU29</f>
        <v>0</v>
      </c>
      <c r="AY29">
        <f>AX29-AW29</f>
        <v>0</v>
      </c>
      <c r="AZ29">
        <f>AP29-AX29</f>
        <v>137687.66</v>
      </c>
      <c r="BA29">
        <f>IF(AP29&gt;0,AZ29/AP29,0)</f>
        <v>1</v>
      </c>
      <c r="BB29" t="str">
        <v>Facturado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f>BF29-BH29</f>
        <v>0</v>
      </c>
      <c r="BJ29">
        <v>0</v>
      </c>
      <c r="BK29" t="str">
        <v>-</v>
      </c>
      <c r="BL29">
        <v>0</v>
      </c>
      <c r="BM29">
        <v>0</v>
      </c>
      <c r="BN29">
        <v>0</v>
      </c>
      <c r="BO29">
        <v>0</v>
      </c>
      <c r="BP29">
        <f>BO29-BN29</f>
        <v>0</v>
      </c>
      <c r="BQ29">
        <f>AP29-BO29</f>
        <v>137687.66</v>
      </c>
    </row>
    <row r="30">
      <c r="A30" t="str">
        <v>TRP-028</v>
      </c>
      <c r="B30">
        <v>2026</v>
      </c>
      <c r="C30">
        <v>8</v>
      </c>
      <c r="D30" t="str">
        <v>ago-26</v>
      </c>
      <c r="E30" t="str">
        <v>ago-26</v>
      </c>
      <c r="F30" t="str">
        <v>05/08/2026</v>
      </c>
      <c r="G30" t="str">
        <v>Propio</v>
      </c>
      <c r="H30" t="str">
        <v>JUAN y MIGUEL</v>
      </c>
      <c r="I30" t="str">
        <v>Sosa Juan</v>
      </c>
      <c r="J30" t="str">
        <v>11</v>
      </c>
      <c r="K30" t="str">
        <v>1</v>
      </c>
      <c r="L30" t="str">
        <v>RONATA</v>
      </c>
      <c r="M30" t="str">
        <v>1001</v>
      </c>
      <c r="N30" t="str">
        <v>ABIC</v>
      </c>
      <c r="O30" t="str">
        <v>209</v>
      </c>
      <c r="P30" t="str">
        <v>San Luis</v>
      </c>
      <c r="Q30" t="str">
        <v>Balde</v>
      </c>
      <c r="R30" t="str">
        <v>-</v>
      </c>
      <c r="S30" t="str">
        <v>RONATA</v>
      </c>
      <c r="T30" t="str">
        <v>Rio Tercero</v>
      </c>
      <c r="U30" t="str">
        <v>Sal</v>
      </c>
      <c r="V30" t="str">
        <v>Sal</v>
      </c>
      <c r="W30">
        <v>389</v>
      </c>
      <c r="X30">
        <v>389</v>
      </c>
      <c r="Y30">
        <f>W30+X30</f>
        <v>778</v>
      </c>
      <c r="Z30" t="str">
        <v>1358</v>
      </c>
      <c r="AA30" t="str">
        <v>106873</v>
      </c>
      <c r="AB30" t="str">
        <v>05/08/2026</v>
      </c>
      <c r="AC30" t="str">
        <v>06/08/2026</v>
      </c>
      <c r="AD30">
        <v>32.84</v>
      </c>
      <c r="AE30" t="str">
        <v>-</v>
      </c>
      <c r="AF30">
        <v>0</v>
      </c>
      <c r="AG30">
        <v>0</v>
      </c>
      <c r="AH30">
        <f>AG30-AF30</f>
        <v>0</v>
      </c>
      <c r="AI30">
        <v>0</v>
      </c>
      <c r="AJ30" t="str">
        <v>0012-00888</v>
      </c>
      <c r="AK30" t="str">
        <v>10/08/2026</v>
      </c>
      <c r="AL30" t="str">
        <v>-</v>
      </c>
      <c r="AM30" t="str">
        <v>O/C 4500105259</v>
      </c>
      <c r="AN30">
        <v>32.84</v>
      </c>
      <c r="AO30">
        <v>4254.87</v>
      </c>
      <c r="AP30">
        <f>AN30*AO30</f>
        <v>139730</v>
      </c>
      <c r="AQ30">
        <f>AP30*0.21</f>
        <v>29343.3</v>
      </c>
      <c r="AR30">
        <f>AP30+AQ30</f>
        <v>169073.3</v>
      </c>
      <c r="AS30">
        <v>1</v>
      </c>
      <c r="AT30">
        <v>0</v>
      </c>
      <c r="AU30">
        <v>0</v>
      </c>
      <c r="AV30">
        <f>AU30*1.21</f>
        <v>0</v>
      </c>
      <c r="AW30">
        <v>0</v>
      </c>
      <c r="AX30">
        <f>AT30*AU30</f>
        <v>0</v>
      </c>
      <c r="AY30">
        <f>AX30-AW30</f>
        <v>0</v>
      </c>
      <c r="AZ30">
        <f>AP30-AX30</f>
        <v>139730</v>
      </c>
      <c r="BA30">
        <f>IF(AP30&gt;0,AZ30/AP30,0)</f>
        <v>1</v>
      </c>
      <c r="BB30" t="str">
        <v>Facturado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f>BF30-BH30</f>
        <v>0</v>
      </c>
      <c r="BJ30">
        <v>0</v>
      </c>
      <c r="BK30" t="str">
        <v>-</v>
      </c>
      <c r="BL30">
        <v>0</v>
      </c>
      <c r="BM30">
        <v>0</v>
      </c>
      <c r="BN30">
        <v>0</v>
      </c>
      <c r="BO30">
        <v>0</v>
      </c>
      <c r="BP30">
        <f>BO30-BN30</f>
        <v>0</v>
      </c>
      <c r="BQ30">
        <f>AP30-BO30</f>
        <v>139730</v>
      </c>
    </row>
    <row r="31">
      <c r="A31" t="str">
        <v>TRP-029</v>
      </c>
      <c r="B31">
        <v>2026</v>
      </c>
      <c r="C31">
        <v>8</v>
      </c>
      <c r="D31" t="str">
        <v>ago-26</v>
      </c>
      <c r="E31" t="str">
        <v>ago-26</v>
      </c>
      <c r="F31" t="str">
        <v>05/08/2026</v>
      </c>
      <c r="G31" t="str">
        <v>Fletero</v>
      </c>
      <c r="H31" t="str">
        <v>Barrilin Roberto</v>
      </c>
      <c r="I31" t="str">
        <v>Barrilin Roberto</v>
      </c>
      <c r="J31" t="str">
        <v>301</v>
      </c>
      <c r="K31" t="str">
        <v>1</v>
      </c>
      <c r="L31" t="str">
        <v>RONATA</v>
      </c>
      <c r="M31" t="str">
        <v>1001</v>
      </c>
      <c r="N31" t="str">
        <v>ABIC</v>
      </c>
      <c r="O31" t="str">
        <v>209</v>
      </c>
      <c r="P31" t="str">
        <v>San Luis</v>
      </c>
      <c r="Q31" t="str">
        <v>Balde</v>
      </c>
      <c r="R31" t="str">
        <v>-</v>
      </c>
      <c r="S31" t="str">
        <v>RONATA</v>
      </c>
      <c r="T31" t="str">
        <v>Rio Tercero</v>
      </c>
      <c r="U31" t="str">
        <v>Sal</v>
      </c>
      <c r="V31" t="str">
        <v>Sal</v>
      </c>
      <c r="W31">
        <v>389</v>
      </c>
      <c r="X31">
        <v>389</v>
      </c>
      <c r="Y31">
        <f>W31+X31</f>
        <v>778</v>
      </c>
      <c r="Z31" t="str">
        <v>1357</v>
      </c>
      <c r="AA31" t="str">
        <v>107088</v>
      </c>
      <c r="AB31" t="str">
        <v>05/08/2026</v>
      </c>
      <c r="AC31" t="str">
        <v>06/08/2026</v>
      </c>
      <c r="AD31">
        <v>33.76</v>
      </c>
      <c r="AE31" t="str">
        <v>-</v>
      </c>
      <c r="AF31">
        <v>0</v>
      </c>
      <c r="AG31">
        <v>0</v>
      </c>
      <c r="AH31">
        <f>AG31-AF31</f>
        <v>0</v>
      </c>
      <c r="AI31">
        <v>0</v>
      </c>
      <c r="AJ31" t="str">
        <v>0012-00888</v>
      </c>
      <c r="AK31" t="str">
        <v>10/08/2026</v>
      </c>
      <c r="AL31" t="str">
        <v>-</v>
      </c>
      <c r="AM31" t="str">
        <v>O/C 4500105259</v>
      </c>
      <c r="AN31">
        <v>33.76</v>
      </c>
      <c r="AO31">
        <v>4254.87</v>
      </c>
      <c r="AP31">
        <f>AN31*AO31</f>
        <v>143644.48</v>
      </c>
      <c r="AQ31">
        <f>AP31*0.21</f>
        <v>30165.34</v>
      </c>
      <c r="AR31">
        <f>AP31+AQ31</f>
        <v>173809.82</v>
      </c>
      <c r="AS31">
        <v>0.27</v>
      </c>
      <c r="AT31">
        <v>33.76</v>
      </c>
      <c r="AU31">
        <v>2904.03</v>
      </c>
      <c r="AV31">
        <f>AU31*1.21</f>
        <v>3513.8763000000004</v>
      </c>
      <c r="AW31">
        <v>0</v>
      </c>
      <c r="AX31">
        <f>AT31*AU31</f>
        <v>98039.91</v>
      </c>
      <c r="AY31">
        <f>AX31-AW31</f>
        <v>0</v>
      </c>
      <c r="AZ31">
        <f>AP31-AX31</f>
        <v>45604.57</v>
      </c>
      <c r="BA31">
        <f>IF(AP31&gt;0,AZ31/AP31,0)</f>
        <v>0.32</v>
      </c>
      <c r="BB31" t="str">
        <v>Facturado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f>BF31-BH31</f>
        <v>0</v>
      </c>
      <c r="BJ31">
        <v>0</v>
      </c>
      <c r="BK31" t="str">
        <v>-</v>
      </c>
      <c r="BL31">
        <v>0</v>
      </c>
      <c r="BM31">
        <v>0</v>
      </c>
      <c r="BN31">
        <v>0</v>
      </c>
      <c r="BO31">
        <v>0</v>
      </c>
      <c r="BP31">
        <f>BO31-BN31</f>
        <v>0</v>
      </c>
      <c r="BQ31">
        <f>AP31-BO31</f>
        <v>45604.57</v>
      </c>
    </row>
    <row r="32">
      <c r="A32" t="str">
        <v>TRP-030</v>
      </c>
      <c r="B32">
        <v>2026</v>
      </c>
      <c r="C32">
        <v>8</v>
      </c>
      <c r="D32" t="str">
        <v>ago-26</v>
      </c>
      <c r="E32" t="str">
        <v>ago-26</v>
      </c>
      <c r="F32" t="str">
        <v>08/08/2026</v>
      </c>
      <c r="G32" t="str">
        <v>Propio</v>
      </c>
      <c r="H32" t="str">
        <v>JUAN y MIGUEL</v>
      </c>
      <c r="I32" t="str">
        <v>Tosco</v>
      </c>
      <c r="J32" t="str">
        <v>4</v>
      </c>
      <c r="K32" t="str">
        <v>1</v>
      </c>
      <c r="L32" t="str">
        <v>GRUPO CKOSS SRL</v>
      </c>
      <c r="M32" t="str">
        <v>1580</v>
      </c>
      <c r="N32" t="str">
        <v>CINTIA VILCHES - TTE CARGA ELENA</v>
      </c>
      <c r="O32" t="str">
        <v>209</v>
      </c>
      <c r="P32" t="str">
        <v>Cordoba</v>
      </c>
      <c r="Q32" t="str">
        <v>Villa Ascasubi</v>
      </c>
      <c r="R32" t="str">
        <v>-</v>
      </c>
      <c r="S32" t="str">
        <v>BUNGE ARGENTINA</v>
      </c>
      <c r="T32" t="str">
        <v>Puerto gral San Martin</v>
      </c>
      <c r="U32" t="str">
        <v>Cereales</v>
      </c>
      <c r="V32" t="str">
        <v>Maiz</v>
      </c>
      <c r="W32">
        <v>0</v>
      </c>
      <c r="X32">
        <v>0</v>
      </c>
      <c r="Y32">
        <f>W32+X32</f>
        <v>0</v>
      </c>
      <c r="Z32" t="str">
        <v>1312-212222</v>
      </c>
      <c r="AA32" t="str">
        <v>107013</v>
      </c>
      <c r="AB32" t="str">
        <v>08/08/2026</v>
      </c>
      <c r="AC32" t="str">
        <v>09/08/2026</v>
      </c>
      <c r="AD32">
        <v>33.62</v>
      </c>
      <c r="AE32" t="str">
        <v>-</v>
      </c>
      <c r="AF32">
        <v>0</v>
      </c>
      <c r="AG32">
        <v>0</v>
      </c>
      <c r="AH32">
        <f>AG32-AF32</f>
        <v>0</v>
      </c>
      <c r="AI32">
        <v>0</v>
      </c>
      <c r="AJ32" t="str">
        <v>12-5228</v>
      </c>
      <c r="AK32" t="str">
        <v>14/08/2026</v>
      </c>
      <c r="AL32" t="str">
        <v>-</v>
      </c>
      <c r="AM32" t="str">
        <v>-</v>
      </c>
      <c r="AN32">
        <v>33.62</v>
      </c>
      <c r="AO32">
        <v>4700</v>
      </c>
      <c r="AP32">
        <f>AN32*AO32</f>
        <v>158014</v>
      </c>
      <c r="AQ32">
        <f>AP32*0.21</f>
        <v>33182.94</v>
      </c>
      <c r="AR32">
        <f>AP32+AQ32</f>
        <v>191196.94</v>
      </c>
      <c r="AS32">
        <v>1</v>
      </c>
      <c r="AT32">
        <v>0</v>
      </c>
      <c r="AU32">
        <v>0</v>
      </c>
      <c r="AV32">
        <f>AU32*1.21</f>
        <v>0</v>
      </c>
      <c r="AW32">
        <v>0</v>
      </c>
      <c r="AX32">
        <f>AT32*AU32</f>
        <v>0</v>
      </c>
      <c r="AY32">
        <f>AX32-AW32</f>
        <v>0</v>
      </c>
      <c r="AZ32">
        <f>AP32-AX32</f>
        <v>158014</v>
      </c>
      <c r="BA32">
        <f>IF(AP32&gt;0,AZ32/AP32,0)</f>
        <v>1</v>
      </c>
      <c r="BB32" t="str">
        <v>Facturado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f>BF32-BH32</f>
        <v>0</v>
      </c>
      <c r="BJ32">
        <v>0</v>
      </c>
      <c r="BK32" t="str">
        <v>-</v>
      </c>
      <c r="BL32">
        <v>0</v>
      </c>
      <c r="BM32">
        <v>0</v>
      </c>
      <c r="BN32">
        <v>0</v>
      </c>
      <c r="BO32">
        <v>0</v>
      </c>
      <c r="BP32">
        <f>BO32-BN32</f>
        <v>0</v>
      </c>
      <c r="BQ32">
        <f>AP32-BO32</f>
        <v>158014</v>
      </c>
    </row>
    <row r="33">
      <c r="A33" t="str">
        <v>TRP-031</v>
      </c>
      <c r="B33">
        <v>2026</v>
      </c>
      <c r="C33">
        <v>8</v>
      </c>
      <c r="D33" t="str">
        <v>ago-26</v>
      </c>
      <c r="E33" t="str">
        <v>ago-26</v>
      </c>
      <c r="F33" t="str">
        <v>08/08/2026</v>
      </c>
      <c r="G33" t="str">
        <v>Propio</v>
      </c>
      <c r="H33" t="str">
        <v>JUAN y MIGUEL</v>
      </c>
      <c r="I33" t="str">
        <v>Lopez Maximiliano</v>
      </c>
      <c r="J33" t="str">
        <v>5</v>
      </c>
      <c r="K33" t="str">
        <v>1</v>
      </c>
      <c r="L33" t="str">
        <v>HECTOR A BERTONE</v>
      </c>
      <c r="M33" t="str">
        <v>1656</v>
      </c>
      <c r="N33" t="str">
        <v>CINTIA VILCHES - TTE CARGA ELENA</v>
      </c>
      <c r="O33" t="str">
        <v>209</v>
      </c>
      <c r="P33" t="str">
        <v>Cordoba</v>
      </c>
      <c r="Q33" t="str">
        <v>Tancacha</v>
      </c>
      <c r="R33" t="str">
        <v>-</v>
      </c>
      <c r="S33" t="str">
        <v>ACA</v>
      </c>
      <c r="T33" t="str">
        <v>Timbues</v>
      </c>
      <c r="U33" t="str">
        <v>Cereales</v>
      </c>
      <c r="V33" t="str">
        <v>Maiz</v>
      </c>
      <c r="W33">
        <v>0</v>
      </c>
      <c r="X33">
        <v>0</v>
      </c>
      <c r="Y33">
        <f>W33+X33</f>
        <v>0</v>
      </c>
      <c r="Z33" t="str">
        <v>145-242287</v>
      </c>
      <c r="AA33" t="str">
        <v>107104</v>
      </c>
      <c r="AB33" t="str">
        <v>08/08/2026</v>
      </c>
      <c r="AC33" t="str">
        <v>09/08/2026</v>
      </c>
      <c r="AD33">
        <v>33.56</v>
      </c>
      <c r="AE33" t="str">
        <v>-</v>
      </c>
      <c r="AF33">
        <v>0</v>
      </c>
      <c r="AG33">
        <v>0</v>
      </c>
      <c r="AH33">
        <f>AG33-AF33</f>
        <v>0</v>
      </c>
      <c r="AI33">
        <v>0</v>
      </c>
      <c r="AJ33" t="str">
        <v>12-5229</v>
      </c>
      <c r="AK33" t="str">
        <v>14/08/2026</v>
      </c>
      <c r="AL33" t="str">
        <v>-</v>
      </c>
      <c r="AM33" t="str">
        <v>-</v>
      </c>
      <c r="AN33">
        <v>33.56</v>
      </c>
      <c r="AO33">
        <v>5200</v>
      </c>
      <c r="AP33">
        <f>AN33*AO33</f>
        <v>174512</v>
      </c>
      <c r="AQ33">
        <f>AP33*0.21</f>
        <v>36647.52</v>
      </c>
      <c r="AR33">
        <f>AP33+AQ33</f>
        <v>211159.52</v>
      </c>
      <c r="AS33">
        <v>1</v>
      </c>
      <c r="AT33">
        <v>0</v>
      </c>
      <c r="AU33">
        <v>0</v>
      </c>
      <c r="AV33">
        <f>AU33*1.21</f>
        <v>0</v>
      </c>
      <c r="AW33">
        <v>0</v>
      </c>
      <c r="AX33">
        <f>AT33*AU33</f>
        <v>0</v>
      </c>
      <c r="AY33">
        <f>AX33-AW33</f>
        <v>0</v>
      </c>
      <c r="AZ33">
        <f>AP33-AX33</f>
        <v>174512</v>
      </c>
      <c r="BA33">
        <f>IF(AP33&gt;0,AZ33/AP33,0)</f>
        <v>1</v>
      </c>
      <c r="BB33" t="str">
        <v>Facturado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f>BF33-BH33</f>
        <v>0</v>
      </c>
      <c r="BJ33">
        <v>0</v>
      </c>
      <c r="BK33" t="str">
        <v>-</v>
      </c>
      <c r="BL33">
        <v>0</v>
      </c>
      <c r="BM33">
        <v>0</v>
      </c>
      <c r="BN33">
        <v>0</v>
      </c>
      <c r="BO33">
        <v>0</v>
      </c>
      <c r="BP33">
        <f>BO33-BN33</f>
        <v>0</v>
      </c>
      <c r="BQ33">
        <f>AP33-BO33</f>
        <v>174512</v>
      </c>
    </row>
    <row r="34">
      <c r="A34" t="str">
        <v>TRP-032</v>
      </c>
      <c r="B34">
        <v>2026</v>
      </c>
      <c r="C34">
        <v>8</v>
      </c>
      <c r="D34" t="str">
        <v>ago-26</v>
      </c>
      <c r="E34" t="str">
        <v>ago-26</v>
      </c>
      <c r="F34" t="str">
        <v>08/08/2026</v>
      </c>
      <c r="G34" t="str">
        <v>Propio</v>
      </c>
      <c r="H34" t="str">
        <v>JUAN y MIGUEL</v>
      </c>
      <c r="I34" t="str">
        <v>Cejas Antonio</v>
      </c>
      <c r="J34" t="str">
        <v>12</v>
      </c>
      <c r="K34" t="str">
        <v>1</v>
      </c>
      <c r="L34" t="str">
        <v>HECTOR A BERTONE</v>
      </c>
      <c r="M34" t="str">
        <v>1656</v>
      </c>
      <c r="N34" t="str">
        <v>CINTIA VILCHES - TTE CARGA ELENA</v>
      </c>
      <c r="O34" t="str">
        <v>209</v>
      </c>
      <c r="P34" t="str">
        <v>Cordoba</v>
      </c>
      <c r="Q34" t="str">
        <v>Rio Tercero</v>
      </c>
      <c r="R34" t="str">
        <v>-</v>
      </c>
      <c r="S34" t="str">
        <v>LDC ARGENTINA</v>
      </c>
      <c r="T34" t="str">
        <v>Gral Lagos</v>
      </c>
      <c r="U34" t="str">
        <v>Cereales</v>
      </c>
      <c r="V34" t="str">
        <v>Maiz</v>
      </c>
      <c r="W34">
        <v>0</v>
      </c>
      <c r="X34">
        <v>0</v>
      </c>
      <c r="Y34">
        <f>W34+X34</f>
        <v>0</v>
      </c>
      <c r="Z34" t="str">
        <v>135-211517</v>
      </c>
      <c r="AA34" t="str">
        <v>107106</v>
      </c>
      <c r="AB34" t="str">
        <v>08/08/2026</v>
      </c>
      <c r="AC34" t="str">
        <v>09/08/2026</v>
      </c>
      <c r="AD34">
        <v>32.69</v>
      </c>
      <c r="AE34" t="str">
        <v>-</v>
      </c>
      <c r="AF34">
        <v>0</v>
      </c>
      <c r="AG34">
        <v>0</v>
      </c>
      <c r="AH34">
        <f>AG34-AF34</f>
        <v>0</v>
      </c>
      <c r="AI34">
        <v>0</v>
      </c>
      <c r="AJ34" t="str">
        <v>12-5248</v>
      </c>
      <c r="AK34" t="str">
        <v>31/08/2026</v>
      </c>
      <c r="AL34" t="str">
        <v>-</v>
      </c>
      <c r="AM34" t="str">
        <v>-</v>
      </c>
      <c r="AN34">
        <v>32.69</v>
      </c>
      <c r="AO34">
        <v>5200</v>
      </c>
      <c r="AP34">
        <f>AN34*AO34</f>
        <v>169988</v>
      </c>
      <c r="AQ34">
        <f>AP34*0.21</f>
        <v>35697.48</v>
      </c>
      <c r="AR34">
        <f>AP34+AQ34</f>
        <v>205685.48</v>
      </c>
      <c r="AS34">
        <v>1</v>
      </c>
      <c r="AT34">
        <v>0</v>
      </c>
      <c r="AU34">
        <v>0</v>
      </c>
      <c r="AV34">
        <f>AU34*1.21</f>
        <v>0</v>
      </c>
      <c r="AW34">
        <v>0</v>
      </c>
      <c r="AX34">
        <f>AT34*AU34</f>
        <v>0</v>
      </c>
      <c r="AY34">
        <f>AX34-AW34</f>
        <v>0</v>
      </c>
      <c r="AZ34">
        <f>AP34-AX34</f>
        <v>169988</v>
      </c>
      <c r="BA34">
        <f>IF(AP34&gt;0,AZ34/AP34,0)</f>
        <v>1</v>
      </c>
      <c r="BB34" t="str">
        <v>Facturado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f>BF34-BH34</f>
        <v>0</v>
      </c>
      <c r="BJ34">
        <v>0</v>
      </c>
      <c r="BK34" t="str">
        <v>-</v>
      </c>
      <c r="BL34">
        <v>0</v>
      </c>
      <c r="BM34">
        <v>0</v>
      </c>
      <c r="BN34">
        <v>0</v>
      </c>
      <c r="BO34">
        <v>0</v>
      </c>
      <c r="BP34">
        <f>BO34-BN34</f>
        <v>0</v>
      </c>
      <c r="BQ34">
        <f>AP34-BO34</f>
        <v>169988</v>
      </c>
    </row>
    <row r="35">
      <c r="A35" t="str">
        <v>TRP-033</v>
      </c>
      <c r="B35">
        <v>2026</v>
      </c>
      <c r="C35">
        <v>8</v>
      </c>
      <c r="D35" t="str">
        <v>ago-26</v>
      </c>
      <c r="E35" t="str">
        <v>ago-26</v>
      </c>
      <c r="F35" t="str">
        <v>08/08/2026</v>
      </c>
      <c r="G35" t="str">
        <v>Fletero</v>
      </c>
      <c r="H35" t="str">
        <v>Galvan</v>
      </c>
      <c r="I35" t="str">
        <v>Galvan</v>
      </c>
      <c r="J35" t="str">
        <v>901</v>
      </c>
      <c r="K35" t="str">
        <v>99</v>
      </c>
      <c r="L35" t="str">
        <v>RONATA</v>
      </c>
      <c r="M35" t="str">
        <v>Tanque</v>
      </c>
      <c r="N35" t="str">
        <v>RONATA</v>
      </c>
      <c r="O35" t="str">
        <v>209</v>
      </c>
      <c r="P35" t="str">
        <v>Cordoba</v>
      </c>
      <c r="Q35" t="str">
        <v>Rio Tercero</v>
      </c>
      <c r="R35" t="str">
        <v>-</v>
      </c>
      <c r="S35" t="str">
        <v>PROAR PILAR</v>
      </c>
      <c r="T35" t="str">
        <v>Pilar</v>
      </c>
      <c r="U35" t="str">
        <v>Tanques</v>
      </c>
      <c r="V35" t="str">
        <v>Agua Oxigenada</v>
      </c>
      <c r="W35">
        <v>695</v>
      </c>
      <c r="X35">
        <v>695</v>
      </c>
      <c r="Y35">
        <f>W35+X35</f>
        <v>1390</v>
      </c>
      <c r="Z35" t="str">
        <v>61-6252</v>
      </c>
      <c r="AA35" t="str">
        <v>62-78163</v>
      </c>
      <c r="AB35" t="str">
        <v>08/08/2026</v>
      </c>
      <c r="AC35" t="str">
        <v>09/08/2026</v>
      </c>
      <c r="AD35">
        <v>27.8</v>
      </c>
      <c r="AE35" t="str">
        <v>-</v>
      </c>
      <c r="AF35">
        <v>0</v>
      </c>
      <c r="AG35">
        <v>0</v>
      </c>
      <c r="AH35">
        <f>AG35-AF35</f>
        <v>0</v>
      </c>
      <c r="AI35">
        <v>390.06</v>
      </c>
      <c r="AJ35" t="str">
        <v>0012-00892</v>
      </c>
      <c r="AK35" t="str">
        <v>24/08/2026</v>
      </c>
      <c r="AL35" t="str">
        <v>-</v>
      </c>
      <c r="AM35" t="str">
        <v>L27</v>
      </c>
      <c r="AN35">
        <v>1</v>
      </c>
      <c r="AO35">
        <v>271093.63</v>
      </c>
      <c r="AP35">
        <f>AN35*AO35</f>
        <v>271093.63</v>
      </c>
      <c r="AQ35">
        <f>AP35*0.21</f>
        <v>56929.66</v>
      </c>
      <c r="AR35">
        <f>AP35+AQ35</f>
        <v>328023.29</v>
      </c>
      <c r="AS35">
        <v>0.27</v>
      </c>
      <c r="AT35">
        <v>1</v>
      </c>
      <c r="AU35">
        <v>161192.29</v>
      </c>
      <c r="AV35">
        <f>AU35*1.21</f>
        <v>195042.6709</v>
      </c>
      <c r="AW35">
        <v>0</v>
      </c>
      <c r="AX35">
        <f>AT35*AU35</f>
        <v>161192.29</v>
      </c>
      <c r="AY35">
        <f>AX35-AW35</f>
        <v>0</v>
      </c>
      <c r="AZ35">
        <f>AP35-AX35</f>
        <v>109901.34</v>
      </c>
      <c r="BA35">
        <f>IF(AP35&gt;0,AZ35/AP35,0)</f>
        <v>0.41</v>
      </c>
      <c r="BB35" t="str">
        <v>Facturado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f>BF35-BH35</f>
        <v>0</v>
      </c>
      <c r="BJ35">
        <v>0</v>
      </c>
      <c r="BK35" t="str">
        <v>-</v>
      </c>
      <c r="BL35">
        <v>0</v>
      </c>
      <c r="BM35">
        <v>0</v>
      </c>
      <c r="BN35">
        <v>0</v>
      </c>
      <c r="BO35">
        <v>0</v>
      </c>
      <c r="BP35">
        <f>BO35-BN35</f>
        <v>0</v>
      </c>
      <c r="BQ35">
        <f>AP35-BO35</f>
        <v>109901.34</v>
      </c>
    </row>
    <row r="36">
      <c r="A36" t="str">
        <v>TRP-034</v>
      </c>
      <c r="B36">
        <v>2026</v>
      </c>
      <c r="C36">
        <v>8</v>
      </c>
      <c r="D36" t="str">
        <v>ago-26</v>
      </c>
      <c r="E36" t="str">
        <v>ago-26</v>
      </c>
      <c r="F36" t="str">
        <v>11/08/2026</v>
      </c>
      <c r="G36" t="str">
        <v>Propio</v>
      </c>
      <c r="H36" t="str">
        <v>JUAN y MIGUEL</v>
      </c>
      <c r="I36" t="str">
        <v>Lopez Maximiliano</v>
      </c>
      <c r="J36" t="str">
        <v>5</v>
      </c>
      <c r="K36" t="str">
        <v>1</v>
      </c>
      <c r="L36" t="str">
        <v>BRESSAN</v>
      </c>
      <c r="M36" t="str">
        <v>1544</v>
      </c>
      <c r="N36" t="str">
        <v>GRANAM</v>
      </c>
      <c r="O36" t="str">
        <v>209</v>
      </c>
      <c r="P36" t="str">
        <v>Cordoba</v>
      </c>
      <c r="Q36" t="str">
        <v>Homberg</v>
      </c>
      <c r="R36" t="str">
        <v>-</v>
      </c>
      <c r="S36" t="str">
        <v>TAMBOS DE MENDOZA SA</v>
      </c>
      <c r="T36" t="str">
        <v>Mendoza</v>
      </c>
      <c r="U36" t="str">
        <v>Cereales</v>
      </c>
      <c r="V36" t="str">
        <v>Merma Maiz Zarandeo</v>
      </c>
      <c r="W36">
        <v>0</v>
      </c>
      <c r="X36">
        <v>0</v>
      </c>
      <c r="Y36">
        <f>W36+X36</f>
        <v>0</v>
      </c>
      <c r="Z36" t="str">
        <v>20643</v>
      </c>
      <c r="AA36" t="str">
        <v>106997</v>
      </c>
      <c r="AB36" t="str">
        <v>11/08/2026</v>
      </c>
      <c r="AC36" t="str">
        <v>02/12/2025</v>
      </c>
      <c r="AD36">
        <v>26.26</v>
      </c>
      <c r="AE36" t="str">
        <v>-</v>
      </c>
      <c r="AF36">
        <v>0</v>
      </c>
      <c r="AG36">
        <v>0</v>
      </c>
      <c r="AH36">
        <f>AG36-AF36</f>
        <v>0</v>
      </c>
      <c r="AI36">
        <v>0</v>
      </c>
      <c r="AJ36" t="str">
        <v>12-5232</v>
      </c>
      <c r="AK36" t="str">
        <v>17/08/2026</v>
      </c>
      <c r="AL36" t="str">
        <v>-</v>
      </c>
      <c r="AM36" t="str">
        <v>-</v>
      </c>
      <c r="AN36">
        <v>26.26</v>
      </c>
      <c r="AO36">
        <v>4500</v>
      </c>
      <c r="AP36">
        <f>AN36*AO36</f>
        <v>118170</v>
      </c>
      <c r="AQ36">
        <f>AP36*0.21</f>
        <v>24815.7</v>
      </c>
      <c r="AR36">
        <f>AP36+AQ36</f>
        <v>142985.7</v>
      </c>
      <c r="AS36">
        <v>1</v>
      </c>
      <c r="AT36">
        <v>0</v>
      </c>
      <c r="AU36">
        <v>0</v>
      </c>
      <c r="AV36">
        <f>AU36*1.21</f>
        <v>0</v>
      </c>
      <c r="AW36">
        <v>0</v>
      </c>
      <c r="AX36">
        <f>AT36*AU36</f>
        <v>0</v>
      </c>
      <c r="AY36">
        <f>AX36-AW36</f>
        <v>0</v>
      </c>
      <c r="AZ36">
        <f>AP36-AX36</f>
        <v>118170</v>
      </c>
      <c r="BA36">
        <f>IF(AP36&gt;0,AZ36/AP36,0)</f>
        <v>1</v>
      </c>
      <c r="BB36" t="str">
        <v>Facturado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f>BF36-BH36</f>
        <v>0</v>
      </c>
      <c r="BJ36">
        <v>0</v>
      </c>
      <c r="BK36" t="str">
        <v>-</v>
      </c>
      <c r="BL36">
        <v>0</v>
      </c>
      <c r="BM36">
        <v>0</v>
      </c>
      <c r="BN36">
        <v>0</v>
      </c>
      <c r="BO36">
        <v>0</v>
      </c>
      <c r="BP36">
        <f>BO36-BN36</f>
        <v>0</v>
      </c>
      <c r="BQ36">
        <f>AP36-BO36</f>
        <v>118170</v>
      </c>
    </row>
    <row r="37">
      <c r="A37" t="str">
        <v>TRP-035</v>
      </c>
      <c r="B37">
        <v>2026</v>
      </c>
      <c r="C37">
        <v>8</v>
      </c>
      <c r="D37" t="str">
        <v>ago-26</v>
      </c>
      <c r="E37" t="str">
        <v>ago-26</v>
      </c>
      <c r="F37" t="str">
        <v>12/08/2026</v>
      </c>
      <c r="G37" t="str">
        <v>Propio</v>
      </c>
      <c r="H37" t="str">
        <v>JUAN y MIGUEL</v>
      </c>
      <c r="I37" t="str">
        <v>Moreno Mauro</v>
      </c>
      <c r="J37" t="str">
        <v>8</v>
      </c>
      <c r="K37" t="str">
        <v>1</v>
      </c>
      <c r="L37" t="str">
        <v>GRANJA SAN JUAN</v>
      </c>
      <c r="M37" t="str">
        <v>1526</v>
      </c>
      <c r="N37" t="str">
        <v>ESTABLECIMIENTO LAS CHILCAS</v>
      </c>
      <c r="O37" t="str">
        <v>209</v>
      </c>
      <c r="P37" t="str">
        <v>Cordoba</v>
      </c>
      <c r="Q37" t="str">
        <v>Pocho</v>
      </c>
      <c r="R37" t="str">
        <v>-</v>
      </c>
      <c r="S37" t="str">
        <v>GRANJA SAN JUAN</v>
      </c>
      <c r="T37" t="str">
        <v>San Juan</v>
      </c>
      <c r="U37" t="str">
        <v>Cereales</v>
      </c>
      <c r="V37" t="str">
        <v>Expeller</v>
      </c>
      <c r="W37">
        <v>389</v>
      </c>
      <c r="X37">
        <v>389</v>
      </c>
      <c r="Y37">
        <f>W37+X37</f>
        <v>778</v>
      </c>
      <c r="Z37" t="str">
        <v>3578</v>
      </c>
      <c r="AA37" t="str">
        <v>106796</v>
      </c>
      <c r="AB37" t="str">
        <v>12/08/2026</v>
      </c>
      <c r="AC37" t="str">
        <v>12/08/2026</v>
      </c>
      <c r="AD37">
        <v>34.38</v>
      </c>
      <c r="AE37" t="str">
        <v>-</v>
      </c>
      <c r="AF37">
        <v>0</v>
      </c>
      <c r="AG37">
        <v>0</v>
      </c>
      <c r="AH37">
        <f>AG37-AF37</f>
        <v>0</v>
      </c>
      <c r="AI37">
        <v>0</v>
      </c>
      <c r="AJ37" t="str">
        <v>12-5233</v>
      </c>
      <c r="AK37" t="str">
        <v>17/08/2026</v>
      </c>
      <c r="AL37" t="str">
        <v>-</v>
      </c>
      <c r="AM37" t="str">
        <v>-</v>
      </c>
      <c r="AN37">
        <v>34.38</v>
      </c>
      <c r="AO37">
        <v>4500</v>
      </c>
      <c r="AP37">
        <f>AN37*AO37</f>
        <v>154710</v>
      </c>
      <c r="AQ37">
        <f>AP37*0.21</f>
        <v>32489.1</v>
      </c>
      <c r="AR37">
        <f>AP37+AQ37</f>
        <v>187199.1</v>
      </c>
      <c r="AS37">
        <v>1</v>
      </c>
      <c r="AT37">
        <v>0</v>
      </c>
      <c r="AU37">
        <v>0</v>
      </c>
      <c r="AV37">
        <f>AU37*1.21</f>
        <v>0</v>
      </c>
      <c r="AW37">
        <v>0</v>
      </c>
      <c r="AX37">
        <f>AT37*AU37</f>
        <v>0</v>
      </c>
      <c r="AY37">
        <f>AX37-AW37</f>
        <v>0</v>
      </c>
      <c r="AZ37">
        <f>AP37-AX37</f>
        <v>154710</v>
      </c>
      <c r="BA37">
        <f>IF(AP37&gt;0,AZ37/AP37,0)</f>
        <v>1</v>
      </c>
      <c r="BB37" t="str">
        <v>Facturado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f>BF37-BH37</f>
        <v>0</v>
      </c>
      <c r="BJ37">
        <v>0</v>
      </c>
      <c r="BK37" t="str">
        <v>-</v>
      </c>
      <c r="BL37">
        <v>0</v>
      </c>
      <c r="BM37">
        <v>0</v>
      </c>
      <c r="BN37">
        <v>0</v>
      </c>
      <c r="BO37">
        <v>0</v>
      </c>
      <c r="BP37">
        <f>BO37-BN37</f>
        <v>0</v>
      </c>
      <c r="BQ37">
        <f>AP37-BO37</f>
        <v>154710</v>
      </c>
    </row>
    <row r="38">
      <c r="A38" t="str">
        <v>TRP-036</v>
      </c>
      <c r="B38">
        <v>2026</v>
      </c>
      <c r="C38">
        <v>8</v>
      </c>
      <c r="D38" t="str">
        <v>ago-26</v>
      </c>
      <c r="E38" t="str">
        <v>ago-26</v>
      </c>
      <c r="F38" t="str">
        <v>12/08/2026</v>
      </c>
      <c r="G38" t="str">
        <v>Fletero</v>
      </c>
      <c r="H38" t="str">
        <v>Lucero</v>
      </c>
      <c r="I38" t="str">
        <v>Lucero Mauricio</v>
      </c>
      <c r="J38" t="str">
        <v>601</v>
      </c>
      <c r="K38" t="str">
        <v>1</v>
      </c>
      <c r="L38" t="str">
        <v>GRANJA SAN JUAN</v>
      </c>
      <c r="M38" t="str">
        <v>1526</v>
      </c>
      <c r="N38" t="str">
        <v>ESTABLECIMIENTO LAS CHILCAS</v>
      </c>
      <c r="O38" t="str">
        <v>209</v>
      </c>
      <c r="P38" t="str">
        <v>Cordoba</v>
      </c>
      <c r="Q38" t="str">
        <v>Pocho</v>
      </c>
      <c r="R38" t="str">
        <v>-</v>
      </c>
      <c r="S38" t="str">
        <v>GRANJA SAN JUAN</v>
      </c>
      <c r="T38" t="str">
        <v>San Juan</v>
      </c>
      <c r="U38" t="str">
        <v>Cereales</v>
      </c>
      <c r="V38" t="str">
        <v>Expeller</v>
      </c>
      <c r="W38">
        <v>389</v>
      </c>
      <c r="X38">
        <v>389</v>
      </c>
      <c r="Y38">
        <f>W38+X38</f>
        <v>778</v>
      </c>
      <c r="Z38" t="str">
        <v>3575</v>
      </c>
      <c r="AA38" t="str">
        <v>107151</v>
      </c>
      <c r="AB38" t="str">
        <v>12/08/2026</v>
      </c>
      <c r="AC38" t="str">
        <v>12/08/2026</v>
      </c>
      <c r="AD38">
        <v>36.22</v>
      </c>
      <c r="AE38" t="str">
        <v>-</v>
      </c>
      <c r="AF38">
        <v>0</v>
      </c>
      <c r="AG38">
        <v>0</v>
      </c>
      <c r="AH38">
        <f>AG38-AF38</f>
        <v>0</v>
      </c>
      <c r="AI38">
        <v>0</v>
      </c>
      <c r="AJ38" t="str">
        <v>12-5233</v>
      </c>
      <c r="AK38" t="str">
        <v>17/08/2026</v>
      </c>
      <c r="AL38" t="str">
        <v>-</v>
      </c>
      <c r="AM38" t="str">
        <v>-</v>
      </c>
      <c r="AN38">
        <v>36.22</v>
      </c>
      <c r="AO38">
        <v>4500</v>
      </c>
      <c r="AP38">
        <f>AN38*AO38</f>
        <v>162990</v>
      </c>
      <c r="AQ38">
        <f>AP38*0.21</f>
        <v>34227.9</v>
      </c>
      <c r="AR38">
        <f>AP38+AQ38</f>
        <v>197217.9</v>
      </c>
      <c r="AS38">
        <v>0.27</v>
      </c>
      <c r="AT38">
        <v>36.22</v>
      </c>
      <c r="AU38">
        <v>315</v>
      </c>
      <c r="AV38">
        <f>AU38*1.21</f>
        <v>381.15</v>
      </c>
      <c r="AW38">
        <v>0</v>
      </c>
      <c r="AX38">
        <f>AT38*AU38</f>
        <v>11409.3</v>
      </c>
      <c r="AY38">
        <f>AX38-AW38</f>
        <v>0</v>
      </c>
      <c r="AZ38">
        <f>AP38-AX38</f>
        <v>151580.7</v>
      </c>
      <c r="BA38">
        <f>IF(AP38&gt;0,AZ38/AP38,0)</f>
        <v>0.93</v>
      </c>
      <c r="BB38" t="str">
        <v>Facturado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f>BF38-BH38</f>
        <v>0</v>
      </c>
      <c r="BJ38">
        <v>0</v>
      </c>
      <c r="BK38" t="str">
        <v>-</v>
      </c>
      <c r="BL38">
        <v>0</v>
      </c>
      <c r="BM38">
        <v>0</v>
      </c>
      <c r="BN38">
        <v>0</v>
      </c>
      <c r="BO38">
        <v>0</v>
      </c>
      <c r="BP38">
        <f>BO38-BN38</f>
        <v>0</v>
      </c>
      <c r="BQ38">
        <f>AP38-BO38</f>
        <v>151580.7</v>
      </c>
    </row>
    <row r="39">
      <c r="A39" t="str">
        <v>TRP-037</v>
      </c>
      <c r="B39">
        <v>2026</v>
      </c>
      <c r="C39">
        <v>8</v>
      </c>
      <c r="D39" t="str">
        <v>ago-26</v>
      </c>
      <c r="E39" t="str">
        <v>ago-26</v>
      </c>
      <c r="F39" t="str">
        <v>12/08/2026</v>
      </c>
      <c r="G39" t="str">
        <v>Fletero</v>
      </c>
      <c r="H39" t="str">
        <v>Galvan</v>
      </c>
      <c r="I39" t="str">
        <v>Galvan</v>
      </c>
      <c r="J39" t="str">
        <v>901</v>
      </c>
      <c r="K39" t="str">
        <v>99</v>
      </c>
      <c r="L39" t="str">
        <v>RONATA</v>
      </c>
      <c r="M39" t="str">
        <v>Tanque</v>
      </c>
      <c r="N39" t="str">
        <v>RONATA</v>
      </c>
      <c r="O39" t="str">
        <v>209</v>
      </c>
      <c r="P39" t="str">
        <v>Cordoba</v>
      </c>
      <c r="Q39" t="str">
        <v>Rio Tercero</v>
      </c>
      <c r="R39" t="str">
        <v>-</v>
      </c>
      <c r="S39" t="str">
        <v>VARTECO SA</v>
      </c>
      <c r="T39" t="str">
        <v>San Luis</v>
      </c>
      <c r="U39" t="str">
        <v>Tanques</v>
      </c>
      <c r="V39" t="str">
        <v>Agua Oxigenada</v>
      </c>
      <c r="W39">
        <v>359</v>
      </c>
      <c r="X39">
        <v>359</v>
      </c>
      <c r="Y39">
        <f>W39+X39</f>
        <v>718</v>
      </c>
      <c r="Z39" t="str">
        <v>61-6343</v>
      </c>
      <c r="AA39" t="str">
        <v>62-78208</v>
      </c>
      <c r="AB39" t="str">
        <v>12/08/2026</v>
      </c>
      <c r="AC39" t="str">
        <v>13/08/2026</v>
      </c>
      <c r="AD39">
        <v>25.1</v>
      </c>
      <c r="AE39" t="str">
        <v>-</v>
      </c>
      <c r="AF39">
        <v>0</v>
      </c>
      <c r="AG39">
        <v>0</v>
      </c>
      <c r="AH39">
        <f>AG39-AF39</f>
        <v>0</v>
      </c>
      <c r="AI39">
        <v>425.45</v>
      </c>
      <c r="AJ39" t="str">
        <v>0012-00892</v>
      </c>
      <c r="AK39" t="str">
        <v>24/08/2026</v>
      </c>
      <c r="AL39" t="str">
        <v>-</v>
      </c>
      <c r="AM39" t="str">
        <v>L27</v>
      </c>
      <c r="AN39">
        <v>1</v>
      </c>
      <c r="AO39">
        <v>152735.85</v>
      </c>
      <c r="AP39">
        <f>AN39*AO39</f>
        <v>152735.85</v>
      </c>
      <c r="AQ39">
        <f>AP39*0.21</f>
        <v>32074.53</v>
      </c>
      <c r="AR39">
        <f>AP39+AQ39</f>
        <v>184810.38</v>
      </c>
      <c r="AS39">
        <v>0.27</v>
      </c>
      <c r="AT39">
        <v>1</v>
      </c>
      <c r="AU39">
        <v>83891.22</v>
      </c>
      <c r="AV39">
        <f>AU39*1.21</f>
        <v>101508.3762</v>
      </c>
      <c r="AW39">
        <v>0</v>
      </c>
      <c r="AX39">
        <f>AT39*AU39</f>
        <v>83891.22</v>
      </c>
      <c r="AY39">
        <f>AX39-AW39</f>
        <v>0</v>
      </c>
      <c r="AZ39">
        <f>AP39-AX39</f>
        <v>68844.63</v>
      </c>
      <c r="BA39">
        <f>IF(AP39&gt;0,AZ39/AP39,0)</f>
        <v>0.45</v>
      </c>
      <c r="BB39" t="str">
        <v>Facturado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f>BF39-BH39</f>
        <v>0</v>
      </c>
      <c r="BJ39">
        <v>0</v>
      </c>
      <c r="BK39" t="str">
        <v>-</v>
      </c>
      <c r="BL39">
        <v>0</v>
      </c>
      <c r="BM39">
        <v>0</v>
      </c>
      <c r="BN39">
        <v>0</v>
      </c>
      <c r="BO39">
        <v>0</v>
      </c>
      <c r="BP39">
        <f>BO39-BN39</f>
        <v>0</v>
      </c>
      <c r="BQ39">
        <f>AP39-BO39</f>
        <v>68844.63</v>
      </c>
    </row>
    <row r="40">
      <c r="A40" t="str">
        <v>TRP-038</v>
      </c>
      <c r="B40">
        <v>2026</v>
      </c>
      <c r="C40">
        <v>8</v>
      </c>
      <c r="D40" t="str">
        <v>ago-26</v>
      </c>
      <c r="E40" t="str">
        <v>ago-26</v>
      </c>
      <c r="F40" t="str">
        <v>14/08/2026</v>
      </c>
      <c r="G40" t="str">
        <v>Propio</v>
      </c>
      <c r="H40" t="str">
        <v>JUAN y MIGUEL</v>
      </c>
      <c r="I40" t="str">
        <v>Ruben Martin</v>
      </c>
      <c r="J40" t="str">
        <v>10</v>
      </c>
      <c r="K40" t="str">
        <v>1</v>
      </c>
      <c r="L40" t="str">
        <v>TRANSPORTE JOSE CARLOS SRL</v>
      </c>
      <c r="M40" t="str">
        <v>1344</v>
      </c>
      <c r="N40" t="str">
        <v>SOLDANO</v>
      </c>
      <c r="O40" t="str">
        <v>209</v>
      </c>
      <c r="P40" t="str">
        <v>Cordoba</v>
      </c>
      <c r="Q40" t="str">
        <v>Las Gamas</v>
      </c>
      <c r="R40" t="str">
        <v>-</v>
      </c>
      <c r="S40" t="str">
        <v>SOLDANO</v>
      </c>
      <c r="T40" t="str">
        <v>San Juan</v>
      </c>
      <c r="U40" t="str">
        <v>Cereales</v>
      </c>
      <c r="V40" t="str">
        <v>Maiz</v>
      </c>
      <c r="W40">
        <v>0</v>
      </c>
      <c r="X40">
        <v>0</v>
      </c>
      <c r="Y40">
        <f>W40+X40</f>
        <v>0</v>
      </c>
      <c r="Z40" t="str">
        <v>317</v>
      </c>
      <c r="AA40" t="str">
        <v>107107</v>
      </c>
      <c r="AB40" t="str">
        <v>14/08/2026</v>
      </c>
      <c r="AC40" t="str">
        <v>15/08/2026</v>
      </c>
      <c r="AD40">
        <v>16.69</v>
      </c>
      <c r="AE40" t="str">
        <v>-</v>
      </c>
      <c r="AF40">
        <v>0</v>
      </c>
      <c r="AG40">
        <v>0</v>
      </c>
      <c r="AH40">
        <f>AG40-AF40</f>
        <v>0</v>
      </c>
      <c r="AI40">
        <v>0</v>
      </c>
      <c r="AJ40" t="str">
        <v>12-5238</v>
      </c>
      <c r="AK40" t="str">
        <v>24/08/2026</v>
      </c>
      <c r="AL40" t="str">
        <v>-</v>
      </c>
      <c r="AM40" t="str">
        <v>-</v>
      </c>
      <c r="AN40">
        <v>16.69</v>
      </c>
      <c r="AO40">
        <v>4100</v>
      </c>
      <c r="AP40">
        <f>AN40*AO40</f>
        <v>68429</v>
      </c>
      <c r="AQ40">
        <f>AP40*0.21</f>
        <v>14370.09</v>
      </c>
      <c r="AR40">
        <f>AP40+AQ40</f>
        <v>82799.09</v>
      </c>
      <c r="AS40">
        <v>1</v>
      </c>
      <c r="AT40">
        <v>0</v>
      </c>
      <c r="AU40">
        <v>0</v>
      </c>
      <c r="AV40">
        <f>AU40*1.21</f>
        <v>0</v>
      </c>
      <c r="AW40">
        <v>0</v>
      </c>
      <c r="AX40">
        <f>AT40*AU40</f>
        <v>0</v>
      </c>
      <c r="AY40">
        <f>AX40-AW40</f>
        <v>0</v>
      </c>
      <c r="AZ40">
        <f>AP40-AX40</f>
        <v>68429</v>
      </c>
      <c r="BA40">
        <f>IF(AP40&gt;0,AZ40/AP40,0)</f>
        <v>1</v>
      </c>
      <c r="BB40" t="str">
        <v>Facturado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f>BF40-BH40</f>
        <v>0</v>
      </c>
      <c r="BJ40">
        <v>0</v>
      </c>
      <c r="BK40" t="str">
        <v>-</v>
      </c>
      <c r="BL40">
        <v>0</v>
      </c>
      <c r="BM40">
        <v>0</v>
      </c>
      <c r="BN40">
        <v>0</v>
      </c>
      <c r="BO40">
        <v>0</v>
      </c>
      <c r="BP40">
        <f>BO40-BN40</f>
        <v>0</v>
      </c>
      <c r="BQ40">
        <f>AP40-BO40</f>
        <v>68429</v>
      </c>
    </row>
    <row r="41">
      <c r="A41" t="str">
        <v>TRP-039</v>
      </c>
      <c r="B41">
        <v>2026</v>
      </c>
      <c r="C41">
        <v>8</v>
      </c>
      <c r="D41" t="str">
        <v>ago-26</v>
      </c>
      <c r="E41" t="str">
        <v>ago-26</v>
      </c>
      <c r="F41" t="str">
        <v>17/08/2026</v>
      </c>
      <c r="G41" t="str">
        <v>Propio</v>
      </c>
      <c r="H41" t="str">
        <v>JUAN y MIGUEL</v>
      </c>
      <c r="I41" t="str">
        <v>Rivarola Jorge</v>
      </c>
      <c r="J41" t="str">
        <v>15</v>
      </c>
      <c r="K41" t="str">
        <v>1</v>
      </c>
      <c r="L41" t="str">
        <v>GLOBE</v>
      </c>
      <c r="M41" t="str">
        <v>1138</v>
      </c>
      <c r="N41" t="str">
        <v>LONGO JUAN</v>
      </c>
      <c r="O41" t="str">
        <v>209</v>
      </c>
      <c r="P41" t="str">
        <v>La Rioja</v>
      </c>
      <c r="Q41" t="str">
        <v>Villa Mazan - La Rioja</v>
      </c>
      <c r="R41" t="str">
        <v>-</v>
      </c>
      <c r="S41" t="str">
        <v>GLOBE</v>
      </c>
      <c r="T41" t="str">
        <v>Mendoza</v>
      </c>
      <c r="U41" t="str">
        <v>Minerales</v>
      </c>
      <c r="V41" t="str">
        <v>Cuarzo 40/100</v>
      </c>
      <c r="W41">
        <v>700</v>
      </c>
      <c r="X41">
        <v>700</v>
      </c>
      <c r="Y41">
        <f>W41+X41</f>
        <v>1400</v>
      </c>
      <c r="Z41" t="str">
        <v>Directo</v>
      </c>
      <c r="AA41" t="str">
        <v>107132</v>
      </c>
      <c r="AB41" t="str">
        <v>17/08/2026</v>
      </c>
      <c r="AC41" t="str">
        <v>11/12/2025</v>
      </c>
      <c r="AD41">
        <v>18.14</v>
      </c>
      <c r="AE41" t="str">
        <v>-</v>
      </c>
      <c r="AF41">
        <v>0</v>
      </c>
      <c r="AG41">
        <v>0</v>
      </c>
      <c r="AH41">
        <f>AG41-AF41</f>
        <v>0</v>
      </c>
      <c r="AI41">
        <v>0</v>
      </c>
      <c r="AJ41" t="str">
        <v>12-5235</v>
      </c>
      <c r="AK41" t="str">
        <v>24/08/2026</v>
      </c>
      <c r="AL41" t="str">
        <v>-</v>
      </c>
      <c r="AM41" t="str">
        <v>-</v>
      </c>
      <c r="AN41">
        <v>18.14</v>
      </c>
      <c r="AO41">
        <v>11500</v>
      </c>
      <c r="AP41">
        <f>AN41*AO41</f>
        <v>208610</v>
      </c>
      <c r="AQ41">
        <f>AP41*0.21</f>
        <v>43808.1</v>
      </c>
      <c r="AR41">
        <f>AP41+AQ41</f>
        <v>252418.1</v>
      </c>
      <c r="AS41">
        <v>1</v>
      </c>
      <c r="AT41">
        <v>0</v>
      </c>
      <c r="AU41">
        <v>0</v>
      </c>
      <c r="AV41">
        <f>AU41*1.21</f>
        <v>0</v>
      </c>
      <c r="AW41">
        <v>0</v>
      </c>
      <c r="AX41">
        <f>AT41*AU41</f>
        <v>65304</v>
      </c>
      <c r="AY41">
        <f>AX41-AW41</f>
        <v>0</v>
      </c>
      <c r="AZ41">
        <f>AP41-AX41</f>
        <v>143306</v>
      </c>
      <c r="BA41">
        <f>IF(AP41&gt;0,AZ41/AP41,0)</f>
        <v>0.69</v>
      </c>
      <c r="BB41" t="str">
        <v>Facturado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f>BF41-BH41</f>
        <v>0</v>
      </c>
      <c r="BJ41">
        <v>0</v>
      </c>
      <c r="BK41" t="str">
        <v>-</v>
      </c>
      <c r="BL41">
        <v>0</v>
      </c>
      <c r="BM41">
        <v>0</v>
      </c>
      <c r="BN41">
        <v>0</v>
      </c>
      <c r="BO41">
        <v>0</v>
      </c>
      <c r="BP41">
        <f>BO41-BN41</f>
        <v>0</v>
      </c>
      <c r="BQ41">
        <f>AP41-BO41</f>
        <v>143306</v>
      </c>
    </row>
    <row r="42">
      <c r="A42" t="str">
        <v>TRP-040</v>
      </c>
      <c r="B42">
        <v>2026</v>
      </c>
      <c r="C42">
        <v>8</v>
      </c>
      <c r="D42" t="str">
        <v>ago-26</v>
      </c>
      <c r="E42" t="str">
        <v>ago-26</v>
      </c>
      <c r="F42" t="str">
        <v>21/08/2026</v>
      </c>
      <c r="G42" t="str">
        <v>Fletero</v>
      </c>
      <c r="H42" t="str">
        <v>Galvan</v>
      </c>
      <c r="I42" t="str">
        <v>Galvan</v>
      </c>
      <c r="J42" t="str">
        <v>901</v>
      </c>
      <c r="K42" t="str">
        <v>99</v>
      </c>
      <c r="L42" t="str">
        <v>RONATA</v>
      </c>
      <c r="M42" t="str">
        <v>Tanque</v>
      </c>
      <c r="N42" t="str">
        <v>RONATA</v>
      </c>
      <c r="O42" t="str">
        <v>209</v>
      </c>
      <c r="P42" t="str">
        <v>Cordoba</v>
      </c>
      <c r="Q42" t="str">
        <v>Rio Tercero</v>
      </c>
      <c r="R42" t="str">
        <v>-</v>
      </c>
      <c r="S42" t="str">
        <v>TERMOPLASTICOS DEL SUR</v>
      </c>
      <c r="T42" t="str">
        <v>Burzaco</v>
      </c>
      <c r="U42" t="str">
        <v>Tanques</v>
      </c>
      <c r="V42" t="str">
        <v>Agua Oxigenada</v>
      </c>
      <c r="W42">
        <v>715</v>
      </c>
      <c r="X42">
        <v>715</v>
      </c>
      <c r="Y42">
        <f>W42+X42</f>
        <v>1430</v>
      </c>
      <c r="Z42" t="str">
        <v>61-6631</v>
      </c>
      <c r="AA42" t="str">
        <v>62-78312</v>
      </c>
      <c r="AB42" t="str">
        <v>21/08/2026</v>
      </c>
      <c r="AC42" t="str">
        <v>22/08/2026</v>
      </c>
      <c r="AD42">
        <v>27.58</v>
      </c>
      <c r="AE42" t="str">
        <v>-</v>
      </c>
      <c r="AF42">
        <v>0</v>
      </c>
      <c r="AG42">
        <v>0</v>
      </c>
      <c r="AH42">
        <f>AG42-AF42</f>
        <v>0</v>
      </c>
      <c r="AI42">
        <v>384.74</v>
      </c>
      <c r="AJ42" t="str">
        <v>0012-00898</v>
      </c>
      <c r="AK42" t="str">
        <v>31/08/2026</v>
      </c>
      <c r="AL42" t="str">
        <v>-</v>
      </c>
      <c r="AM42" t="str">
        <v>L29</v>
      </c>
      <c r="AN42">
        <v>1</v>
      </c>
      <c r="AO42">
        <v>275088.07</v>
      </c>
      <c r="AP42">
        <f>AN42*AO42</f>
        <v>275088.07</v>
      </c>
      <c r="AQ42">
        <f>AP42*0.21</f>
        <v>57768.49</v>
      </c>
      <c r="AR42">
        <f>AP42+AQ42</f>
        <v>332856.56</v>
      </c>
      <c r="AS42">
        <v>0.27</v>
      </c>
      <c r="AT42">
        <v>1</v>
      </c>
      <c r="AU42">
        <v>176343.04</v>
      </c>
      <c r="AV42">
        <f>AU42*1.21</f>
        <v>213375.0784</v>
      </c>
      <c r="AW42">
        <v>0</v>
      </c>
      <c r="AX42">
        <f>AT42*AU42</f>
        <v>176343.04</v>
      </c>
      <c r="AY42">
        <f>AX42-AW42</f>
        <v>0</v>
      </c>
      <c r="AZ42">
        <f>AP42-AX42</f>
        <v>98745.03</v>
      </c>
      <c r="BA42">
        <f>IF(AP42&gt;0,AZ42/AP42,0)</f>
        <v>0.36</v>
      </c>
      <c r="BB42" t="str">
        <v>Facturado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f>BF42-BH42</f>
        <v>0</v>
      </c>
      <c r="BJ42">
        <v>0</v>
      </c>
      <c r="BK42" t="str">
        <v>-</v>
      </c>
      <c r="BL42">
        <v>0</v>
      </c>
      <c r="BM42">
        <v>0</v>
      </c>
      <c r="BN42">
        <v>0</v>
      </c>
      <c r="BO42">
        <v>0</v>
      </c>
      <c r="BP42">
        <f>BO42-BN42</f>
        <v>0</v>
      </c>
      <c r="BQ42">
        <f>AP42-BO42</f>
        <v>98745.03</v>
      </c>
    </row>
    <row r="43">
      <c r="A43" t="str">
        <v>TRP-041</v>
      </c>
      <c r="B43">
        <v>2026</v>
      </c>
      <c r="C43">
        <v>8</v>
      </c>
      <c r="D43" t="str">
        <v>ago-26</v>
      </c>
      <c r="E43" t="str">
        <v>ago-26</v>
      </c>
      <c r="F43" t="str">
        <v>25/08/2026</v>
      </c>
      <c r="G43" t="str">
        <v>Fletero</v>
      </c>
      <c r="H43" t="str">
        <v>Galvan</v>
      </c>
      <c r="I43" t="str">
        <v>Galvan</v>
      </c>
      <c r="J43" t="str">
        <v>901</v>
      </c>
      <c r="K43" t="str">
        <v>99</v>
      </c>
      <c r="L43" t="str">
        <v>RONATA</v>
      </c>
      <c r="M43" t="str">
        <v>Tanque</v>
      </c>
      <c r="N43" t="str">
        <v>RONATA</v>
      </c>
      <c r="O43" t="str">
        <v>209</v>
      </c>
      <c r="P43" t="str">
        <v>Cordoba</v>
      </c>
      <c r="Q43" t="str">
        <v>Rio Tercero</v>
      </c>
      <c r="R43" t="str">
        <v>-</v>
      </c>
      <c r="S43" t="str">
        <v>MAG SRL</v>
      </c>
      <c r="T43" t="str">
        <v>Mendoza</v>
      </c>
      <c r="U43" t="str">
        <v>Tanques</v>
      </c>
      <c r="V43" t="str">
        <v>Agua Oxigenada</v>
      </c>
      <c r="W43">
        <v>640</v>
      </c>
      <c r="X43">
        <v>640</v>
      </c>
      <c r="Y43">
        <f>W43+X43</f>
        <v>1280</v>
      </c>
      <c r="Z43" t="str">
        <v>61-6689</v>
      </c>
      <c r="AA43" t="str">
        <v>62-78330</v>
      </c>
      <c r="AB43" t="str">
        <v>25/08/2026</v>
      </c>
      <c r="AC43" t="str">
        <v>26/08/2026</v>
      </c>
      <c r="AD43">
        <v>27.94</v>
      </c>
      <c r="AE43" t="str">
        <v>-</v>
      </c>
      <c r="AF43">
        <v>0</v>
      </c>
      <c r="AG43">
        <v>0</v>
      </c>
      <c r="AH43">
        <f>AG43-AF43</f>
        <v>0</v>
      </c>
      <c r="AI43">
        <v>381.24</v>
      </c>
      <c r="AJ43" t="str">
        <v>0012-00898</v>
      </c>
      <c r="AK43" t="str">
        <v>31/08/2026</v>
      </c>
      <c r="AL43" t="str">
        <v>-</v>
      </c>
      <c r="AM43" t="str">
        <v>L29</v>
      </c>
      <c r="AN43">
        <v>1</v>
      </c>
      <c r="AO43">
        <v>243992.02</v>
      </c>
      <c r="AP43">
        <f>AN43*AO43</f>
        <v>243992.02</v>
      </c>
      <c r="AQ43">
        <f>AP43*0.21</f>
        <v>51238.32</v>
      </c>
      <c r="AR43">
        <f>AP43+AQ43</f>
        <v>295230.34</v>
      </c>
      <c r="AS43">
        <v>0.27</v>
      </c>
      <c r="AT43">
        <v>1</v>
      </c>
      <c r="AU43">
        <v>154168.23</v>
      </c>
      <c r="AV43">
        <f>AU43*1.21</f>
        <v>186543.5583</v>
      </c>
      <c r="AW43">
        <v>0</v>
      </c>
      <c r="AX43">
        <f>AT43*AU43</f>
        <v>154168.23</v>
      </c>
      <c r="AY43">
        <f>AX43-AW43</f>
        <v>0</v>
      </c>
      <c r="AZ43">
        <f>AP43-AX43</f>
        <v>89823.79</v>
      </c>
      <c r="BA43">
        <f>IF(AP43&gt;0,AZ43/AP43,0)</f>
        <v>0.37</v>
      </c>
      <c r="BB43" t="str">
        <v>Facturado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f>BF43-BH43</f>
        <v>0</v>
      </c>
      <c r="BJ43">
        <v>0</v>
      </c>
      <c r="BK43" t="str">
        <v>-</v>
      </c>
      <c r="BL43">
        <v>0</v>
      </c>
      <c r="BM43">
        <v>0</v>
      </c>
      <c r="BN43">
        <v>0</v>
      </c>
      <c r="BO43">
        <v>0</v>
      </c>
      <c r="BP43">
        <f>BO43-BN43</f>
        <v>0</v>
      </c>
      <c r="BQ43">
        <f>AP43-BO43</f>
        <v>89823.79</v>
      </c>
    </row>
    <row r="44">
      <c r="A44" t="str">
        <v>TRP-042</v>
      </c>
      <c r="B44">
        <v>2026</v>
      </c>
      <c r="C44">
        <v>8</v>
      </c>
      <c r="D44" t="str">
        <v>ago-26</v>
      </c>
      <c r="E44" t="str">
        <v>ago-26</v>
      </c>
      <c r="F44" t="str">
        <v>26/08/2026</v>
      </c>
      <c r="G44" t="str">
        <v>Fletero</v>
      </c>
      <c r="H44" t="str">
        <v>Barrilin Roberto</v>
      </c>
      <c r="I44" t="str">
        <v>Alquiler Batea</v>
      </c>
      <c r="J44" t="str">
        <v/>
      </c>
      <c r="K44" t="str">
        <v>120</v>
      </c>
      <c r="L44" t="str">
        <v>BARRILIN ROBERTO</v>
      </c>
      <c r="M44" t="str">
        <v>Alquiler B.U</v>
      </c>
      <c r="N44" t="str">
        <v>JUAN Y MIUEL</v>
      </c>
      <c r="O44" t="str">
        <v>209</v>
      </c>
      <c r="P44" t="str">
        <v>Cordoba</v>
      </c>
      <c r="Q44" t="str">
        <v>Rio Tercero</v>
      </c>
      <c r="R44" t="str">
        <v>-</v>
      </c>
      <c r="S44" t="str">
        <v>BARRILIN ROBERTO</v>
      </c>
      <c r="T44" t="str">
        <v>Rio Tercero</v>
      </c>
      <c r="U44" t="str">
        <v>Alquiler Batea</v>
      </c>
      <c r="V44" t="str">
        <v>Alquiler Batea</v>
      </c>
      <c r="W44">
        <v>1</v>
      </c>
      <c r="X44">
        <v>1</v>
      </c>
      <c r="Y44">
        <f>W44+X44</f>
        <v>2</v>
      </c>
      <c r="Z44" t="str">
        <v>Alquiler</v>
      </c>
      <c r="AA44" t="str">
        <v>Batea</v>
      </c>
      <c r="AB44" t="str">
        <v>26/08/2026</v>
      </c>
      <c r="AC44" t="str">
        <v>29/08/2024</v>
      </c>
      <c r="AD44">
        <v>1</v>
      </c>
      <c r="AE44" t="str">
        <v>-</v>
      </c>
      <c r="AF44">
        <v>0</v>
      </c>
      <c r="AG44">
        <v>0</v>
      </c>
      <c r="AH44">
        <f>AG44-AF44</f>
        <v>0</v>
      </c>
      <c r="AI44">
        <v>0</v>
      </c>
      <c r="AJ44" t="str">
        <v>12-5239</v>
      </c>
      <c r="AK44" t="str">
        <v>26/08/2026</v>
      </c>
      <c r="AL44" t="str">
        <v>-</v>
      </c>
      <c r="AM44" t="str">
        <v>-</v>
      </c>
      <c r="AN44">
        <v>1</v>
      </c>
      <c r="AO44">
        <v>6000</v>
      </c>
      <c r="AP44">
        <f>AN44*AO44</f>
        <v>6000</v>
      </c>
      <c r="AQ44">
        <f>AP44*0.21</f>
        <v>1260</v>
      </c>
      <c r="AR44">
        <f>AP44+AQ44</f>
        <v>7260</v>
      </c>
      <c r="AS44">
        <v>0.27</v>
      </c>
      <c r="AT44">
        <v>1</v>
      </c>
      <c r="AU44">
        <v>0</v>
      </c>
      <c r="AV44">
        <f>AU44*1.21</f>
        <v>0</v>
      </c>
      <c r="AW44">
        <v>0</v>
      </c>
      <c r="AX44">
        <f>AT44*AU44</f>
        <v>0</v>
      </c>
      <c r="AY44">
        <f>AX44-AW44</f>
        <v>0</v>
      </c>
      <c r="AZ44">
        <f>AP44-AX44</f>
        <v>6000</v>
      </c>
      <c r="BA44">
        <f>IF(AP44&gt;0,AZ44/AP44,0)</f>
        <v>1</v>
      </c>
      <c r="BB44" t="str">
        <v>Facturado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f>BF44-BH44</f>
        <v>0</v>
      </c>
      <c r="BJ44">
        <v>0</v>
      </c>
      <c r="BK44" t="str">
        <v>-</v>
      </c>
      <c r="BL44">
        <v>0</v>
      </c>
      <c r="BM44">
        <v>0</v>
      </c>
      <c r="BN44">
        <v>0</v>
      </c>
      <c r="BO44">
        <v>0</v>
      </c>
      <c r="BP44">
        <f>BO44-BN44</f>
        <v>0</v>
      </c>
      <c r="BQ44">
        <f>AP44-BO44</f>
        <v>6000</v>
      </c>
    </row>
    <row r="45">
      <c r="A45" t="str">
        <v>TRP-043</v>
      </c>
      <c r="B45">
        <v>2026</v>
      </c>
      <c r="C45">
        <v>8</v>
      </c>
      <c r="D45" t="str">
        <v>ago-26</v>
      </c>
      <c r="E45" t="str">
        <v>ago-26</v>
      </c>
      <c r="F45" t="str">
        <v>26/08/2026</v>
      </c>
      <c r="G45" t="str">
        <v>Fletero</v>
      </c>
      <c r="H45" t="str">
        <v>Lucero</v>
      </c>
      <c r="I45" t="str">
        <v>Alquiler Batea</v>
      </c>
      <c r="J45" t="str">
        <v/>
      </c>
      <c r="K45" t="str">
        <v>120</v>
      </c>
      <c r="L45" t="str">
        <v>LUCERO CESAR MAURICIO</v>
      </c>
      <c r="M45" t="str">
        <v>Alquiler B.U</v>
      </c>
      <c r="N45" t="str">
        <v>JUAN Y MIUEL</v>
      </c>
      <c r="O45" t="str">
        <v>209</v>
      </c>
      <c r="P45" t="str">
        <v>Cordoba</v>
      </c>
      <c r="Q45" t="str">
        <v>Rio Tercero</v>
      </c>
      <c r="R45" t="str">
        <v>-</v>
      </c>
      <c r="S45" t="str">
        <v>LUCERO CESAR MAURICIO</v>
      </c>
      <c r="T45" t="str">
        <v>Rio Tercero</v>
      </c>
      <c r="U45" t="str">
        <v>Alquiler Batea</v>
      </c>
      <c r="V45" t="str">
        <v>Alquiler Batea</v>
      </c>
      <c r="W45">
        <v>1</v>
      </c>
      <c r="X45">
        <v>1</v>
      </c>
      <c r="Y45">
        <f>W45+X45</f>
        <v>2</v>
      </c>
      <c r="Z45" t="str">
        <v>Alquiler</v>
      </c>
      <c r="AA45" t="str">
        <v>Batea</v>
      </c>
      <c r="AB45" t="str">
        <v>26/08/2026</v>
      </c>
      <c r="AC45" t="str">
        <v>29/02/2024</v>
      </c>
      <c r="AD45">
        <v>1</v>
      </c>
      <c r="AE45" t="str">
        <v>-</v>
      </c>
      <c r="AF45">
        <v>0</v>
      </c>
      <c r="AG45">
        <v>0</v>
      </c>
      <c r="AH45">
        <f>AG45-AF45</f>
        <v>0</v>
      </c>
      <c r="AI45">
        <v>0</v>
      </c>
      <c r="AJ45" t="str">
        <v>12-5240</v>
      </c>
      <c r="AK45" t="str">
        <v>26/08/2026</v>
      </c>
      <c r="AL45" t="str">
        <v>-</v>
      </c>
      <c r="AM45" t="str">
        <v>-</v>
      </c>
      <c r="AN45">
        <v>1</v>
      </c>
      <c r="AO45">
        <v>6000</v>
      </c>
      <c r="AP45">
        <f>AN45*AO45</f>
        <v>6000</v>
      </c>
      <c r="AQ45">
        <f>AP45*0.21</f>
        <v>1260</v>
      </c>
      <c r="AR45">
        <f>AP45+AQ45</f>
        <v>7260</v>
      </c>
      <c r="AS45">
        <v>0.27</v>
      </c>
      <c r="AT45">
        <v>1</v>
      </c>
      <c r="AU45">
        <v>0</v>
      </c>
      <c r="AV45">
        <f>AU45*1.21</f>
        <v>0</v>
      </c>
      <c r="AW45">
        <v>0</v>
      </c>
      <c r="AX45">
        <f>AT45*AU45</f>
        <v>0</v>
      </c>
      <c r="AY45">
        <f>AX45-AW45</f>
        <v>0</v>
      </c>
      <c r="AZ45">
        <f>AP45-AX45</f>
        <v>6000</v>
      </c>
      <c r="BA45">
        <f>IF(AP45&gt;0,AZ45/AP45,0)</f>
        <v>1</v>
      </c>
      <c r="BB45" t="str">
        <v>Facturado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f>BF45-BH45</f>
        <v>0</v>
      </c>
      <c r="BJ45">
        <v>0</v>
      </c>
      <c r="BK45" t="str">
        <v>-</v>
      </c>
      <c r="BL45">
        <v>0</v>
      </c>
      <c r="BM45">
        <v>0</v>
      </c>
      <c r="BN45">
        <v>0</v>
      </c>
      <c r="BO45">
        <v>0</v>
      </c>
      <c r="BP45">
        <f>BO45-BN45</f>
        <v>0</v>
      </c>
      <c r="BQ45">
        <f>AP45-BO45</f>
        <v>6000</v>
      </c>
    </row>
    <row r="46">
      <c r="A46" t="str">
        <v>TRP-044</v>
      </c>
      <c r="B46">
        <v>2026</v>
      </c>
      <c r="C46">
        <v>8</v>
      </c>
      <c r="D46" t="str">
        <v>ago-26</v>
      </c>
      <c r="E46" t="str">
        <v>ago-26</v>
      </c>
      <c r="F46" t="str">
        <v>26/08/2026</v>
      </c>
      <c r="G46" t="str">
        <v>Fletero</v>
      </c>
      <c r="H46" t="str">
        <v>Martinez</v>
      </c>
      <c r="I46" t="str">
        <v>Alquiler Batea</v>
      </c>
      <c r="J46" t="str">
        <v/>
      </c>
      <c r="K46" t="str">
        <v>120</v>
      </c>
      <c r="L46" t="str">
        <v>MARTINEZ NESTOR JABIER</v>
      </c>
      <c r="M46" t="str">
        <v>Alquiler B.U</v>
      </c>
      <c r="N46" t="str">
        <v>JUAN Y MIUEL</v>
      </c>
      <c r="O46" t="str">
        <v>209</v>
      </c>
      <c r="P46" t="str">
        <v>Cordoba</v>
      </c>
      <c r="Q46" t="str">
        <v>Rio Tercero</v>
      </c>
      <c r="R46" t="str">
        <v>-</v>
      </c>
      <c r="S46" t="str">
        <v>MARTINEZ NESTOR JABIER</v>
      </c>
      <c r="T46" t="str">
        <v>Rio Tercero</v>
      </c>
      <c r="U46" t="str">
        <v>Alquiler Batea</v>
      </c>
      <c r="V46" t="str">
        <v>Alquiler Batea</v>
      </c>
      <c r="W46">
        <v>1</v>
      </c>
      <c r="X46">
        <v>1</v>
      </c>
      <c r="Y46">
        <f>W46+X46</f>
        <v>2</v>
      </c>
      <c r="Z46" t="str">
        <v>Alquiler</v>
      </c>
      <c r="AA46" t="str">
        <v>Batea</v>
      </c>
      <c r="AB46" t="str">
        <v>26/08/2026</v>
      </c>
      <c r="AC46" t="str">
        <v>29/02/2024</v>
      </c>
      <c r="AD46">
        <v>1</v>
      </c>
      <c r="AE46" t="str">
        <v>-</v>
      </c>
      <c r="AF46">
        <v>0</v>
      </c>
      <c r="AG46">
        <v>0</v>
      </c>
      <c r="AH46">
        <f>AG46-AF46</f>
        <v>0</v>
      </c>
      <c r="AI46">
        <v>0</v>
      </c>
      <c r="AJ46" t="str">
        <v>12-5241</v>
      </c>
      <c r="AK46" t="str">
        <v>26/08/2026</v>
      </c>
      <c r="AL46" t="str">
        <v>-</v>
      </c>
      <c r="AM46" t="str">
        <v>-</v>
      </c>
      <c r="AN46">
        <v>1</v>
      </c>
      <c r="AO46">
        <v>6000</v>
      </c>
      <c r="AP46">
        <f>AN46*AO46</f>
        <v>6000</v>
      </c>
      <c r="AQ46">
        <f>AP46*0.21</f>
        <v>1260</v>
      </c>
      <c r="AR46">
        <f>AP46+AQ46</f>
        <v>7260</v>
      </c>
      <c r="AS46">
        <v>0.27</v>
      </c>
      <c r="AT46">
        <v>1</v>
      </c>
      <c r="AU46">
        <v>0</v>
      </c>
      <c r="AV46">
        <f>AU46*1.21</f>
        <v>0</v>
      </c>
      <c r="AW46">
        <v>0</v>
      </c>
      <c r="AX46">
        <f>AT46*AU46</f>
        <v>0</v>
      </c>
      <c r="AY46">
        <f>AX46-AW46</f>
        <v>0</v>
      </c>
      <c r="AZ46">
        <f>AP46-AX46</f>
        <v>6000</v>
      </c>
      <c r="BA46">
        <f>IF(AP46&gt;0,AZ46/AP46,0)</f>
        <v>1</v>
      </c>
      <c r="BB46" t="str">
        <v>Facturado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f>BF46-BH46</f>
        <v>0</v>
      </c>
      <c r="BJ46">
        <v>0</v>
      </c>
      <c r="BK46" t="str">
        <v>-</v>
      </c>
      <c r="BL46">
        <v>0</v>
      </c>
      <c r="BM46">
        <v>0</v>
      </c>
      <c r="BN46">
        <v>0</v>
      </c>
      <c r="BO46">
        <v>0</v>
      </c>
      <c r="BP46">
        <f>BO46-BN46</f>
        <v>0</v>
      </c>
      <c r="BQ46">
        <f>AP46-BO46</f>
        <v>6000</v>
      </c>
    </row>
    <row r="47">
      <c r="A47" t="str">
        <v>TRP-045</v>
      </c>
      <c r="B47">
        <v>2026</v>
      </c>
      <c r="C47">
        <v>8</v>
      </c>
      <c r="D47" t="str">
        <v>ago-26</v>
      </c>
      <c r="E47" t="str">
        <v>ago-26</v>
      </c>
      <c r="F47" t="str">
        <v>27/08/2026</v>
      </c>
      <c r="G47" t="str">
        <v>Propio</v>
      </c>
      <c r="H47" t="str">
        <v>JUAN y MIGUEL</v>
      </c>
      <c r="I47" t="str">
        <v>Ledesma</v>
      </c>
      <c r="J47" t="str">
        <v>34</v>
      </c>
      <c r="K47" t="str">
        <v>99</v>
      </c>
      <c r="L47" t="str">
        <v>RONATA</v>
      </c>
      <c r="M47" t="str">
        <v>Tanque</v>
      </c>
      <c r="N47" t="str">
        <v>RONATA</v>
      </c>
      <c r="O47" t="str">
        <v>209</v>
      </c>
      <c r="P47" t="str">
        <v>Cordoba</v>
      </c>
      <c r="Q47" t="str">
        <v>Rio Tercero</v>
      </c>
      <c r="R47" t="str">
        <v>-</v>
      </c>
      <c r="S47" t="str">
        <v>VARTECO SA</v>
      </c>
      <c r="T47" t="str">
        <v>San Luis</v>
      </c>
      <c r="U47" t="str">
        <v>Tanques</v>
      </c>
      <c r="V47" t="str">
        <v>Agua Oxigenada</v>
      </c>
      <c r="W47">
        <v>359</v>
      </c>
      <c r="X47">
        <v>359</v>
      </c>
      <c r="Y47">
        <f>W47+X47</f>
        <v>718</v>
      </c>
      <c r="Z47" t="str">
        <v>61-6772</v>
      </c>
      <c r="AA47" t="str">
        <v>62-78362</v>
      </c>
      <c r="AB47" t="str">
        <v>27/08/2026</v>
      </c>
      <c r="AC47" t="str">
        <v>28/08/2026</v>
      </c>
      <c r="AD47">
        <v>24.94</v>
      </c>
      <c r="AE47" t="str">
        <v>-</v>
      </c>
      <c r="AF47">
        <v>0</v>
      </c>
      <c r="AG47">
        <v>0</v>
      </c>
      <c r="AH47">
        <f>AG47-AF47</f>
        <v>0</v>
      </c>
      <c r="AI47">
        <v>772.21</v>
      </c>
      <c r="AJ47" t="str">
        <v>0012-00898</v>
      </c>
      <c r="AK47" t="str">
        <v>31/08/2026</v>
      </c>
      <c r="AL47" t="str">
        <v>-</v>
      </c>
      <c r="AM47" t="str">
        <v>L29</v>
      </c>
      <c r="AN47">
        <v>1</v>
      </c>
      <c r="AO47">
        <v>277224.85</v>
      </c>
      <c r="AP47">
        <f>AN47*AO47</f>
        <v>277224.85</v>
      </c>
      <c r="AQ47">
        <f>AP47*0.21</f>
        <v>58217.22</v>
      </c>
      <c r="AR47">
        <f>AP47+AQ47</f>
        <v>335442.06</v>
      </c>
      <c r="AS47">
        <v>1</v>
      </c>
      <c r="AT47">
        <v>0</v>
      </c>
      <c r="AU47">
        <v>0</v>
      </c>
      <c r="AV47">
        <f>AU47*1.21</f>
        <v>0</v>
      </c>
      <c r="AW47">
        <v>0</v>
      </c>
      <c r="AX47">
        <f>AT47*AU47</f>
        <v>0</v>
      </c>
      <c r="AY47">
        <f>AX47-AW47</f>
        <v>0</v>
      </c>
      <c r="AZ47">
        <f>AP47-AX47</f>
        <v>277224.85</v>
      </c>
      <c r="BA47">
        <f>IF(AP47&gt;0,AZ47/AP47,0)</f>
        <v>1</v>
      </c>
      <c r="BB47" t="str">
        <v>Facturado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f>BF47-BH47</f>
        <v>0</v>
      </c>
      <c r="BJ47">
        <v>0</v>
      </c>
      <c r="BK47" t="str">
        <v>-</v>
      </c>
      <c r="BL47">
        <v>0</v>
      </c>
      <c r="BM47">
        <v>0</v>
      </c>
      <c r="BN47">
        <v>0</v>
      </c>
      <c r="BO47">
        <v>0</v>
      </c>
      <c r="BP47">
        <f>BO47-BN47</f>
        <v>0</v>
      </c>
      <c r="BQ47">
        <f>AP47-BO47</f>
        <v>277224.85</v>
      </c>
    </row>
    <row r="48">
      <c r="A48" t="str">
        <v>TRP-046</v>
      </c>
      <c r="B48">
        <v>2026</v>
      </c>
      <c r="C48">
        <v>8</v>
      </c>
      <c r="D48" t="str">
        <v>ago-26</v>
      </c>
      <c r="E48" t="str">
        <v>ago-26</v>
      </c>
      <c r="F48" t="str">
        <v>27/08/2026</v>
      </c>
      <c r="G48" t="str">
        <v>Fletero</v>
      </c>
      <c r="H48" t="str">
        <v>Galvan</v>
      </c>
      <c r="I48" t="str">
        <v>Galvan</v>
      </c>
      <c r="J48" t="str">
        <v>901</v>
      </c>
      <c r="K48" t="str">
        <v>99</v>
      </c>
      <c r="L48" t="str">
        <v>RONATA</v>
      </c>
      <c r="M48" t="str">
        <v>Tanque</v>
      </c>
      <c r="N48" t="str">
        <v>RONATA</v>
      </c>
      <c r="O48" t="str">
        <v>209</v>
      </c>
      <c r="P48" t="str">
        <v>Cordoba</v>
      </c>
      <c r="Q48" t="str">
        <v>Rio Tercero</v>
      </c>
      <c r="R48" t="str">
        <v>-</v>
      </c>
      <c r="S48" t="str">
        <v>BUYANOR SA</v>
      </c>
      <c r="T48" t="str">
        <v>Avellaneda - Sta Fe</v>
      </c>
      <c r="U48" t="str">
        <v>Tanques</v>
      </c>
      <c r="V48" t="str">
        <v>Agua Oxigenada</v>
      </c>
      <c r="W48">
        <v>742</v>
      </c>
      <c r="X48">
        <v>742</v>
      </c>
      <c r="Y48">
        <f>W48+X48</f>
        <v>1484</v>
      </c>
      <c r="Z48" t="str">
        <v>61-6770</v>
      </c>
      <c r="AA48" t="str">
        <v>62-78360</v>
      </c>
      <c r="AB48" t="str">
        <v>27/08/2026</v>
      </c>
      <c r="AC48" t="str">
        <v>28/08/2026</v>
      </c>
      <c r="AD48">
        <v>25.75</v>
      </c>
      <c r="AE48" t="str">
        <v>-</v>
      </c>
      <c r="AF48">
        <v>0</v>
      </c>
      <c r="AG48">
        <v>0</v>
      </c>
      <c r="AH48">
        <f>AG48-AF48</f>
        <v>0</v>
      </c>
      <c r="AI48">
        <v>0</v>
      </c>
      <c r="AJ48" t="str">
        <v>0012-00898</v>
      </c>
      <c r="AK48" t="str">
        <v>31/08/2026</v>
      </c>
      <c r="AL48" t="str">
        <v>-</v>
      </c>
      <c r="AM48" t="str">
        <v>L29</v>
      </c>
      <c r="AN48">
        <v>1</v>
      </c>
      <c r="AO48">
        <v>0</v>
      </c>
      <c r="AP48">
        <f>AN48*AO48</f>
        <v>0</v>
      </c>
      <c r="AQ48">
        <f>AP48*0.21</f>
        <v>0</v>
      </c>
      <c r="AR48">
        <f>AP48+AQ48</f>
        <v>0</v>
      </c>
      <c r="AS48">
        <v>0.27</v>
      </c>
      <c r="AT48">
        <v>1</v>
      </c>
      <c r="AU48">
        <v>182275.15</v>
      </c>
      <c r="AV48">
        <f>AU48*1.21</f>
        <v>220552.93149999998</v>
      </c>
      <c r="AW48">
        <v>0</v>
      </c>
      <c r="AX48">
        <f>AT48*AU48</f>
        <v>182275.15</v>
      </c>
      <c r="AY48">
        <f>AX48-AW48</f>
        <v>0</v>
      </c>
      <c r="AZ48">
        <f>AP48-AX48</f>
        <v>-182275.15</v>
      </c>
      <c r="BA48">
        <f>IF(AP48&gt;0,AZ48/AP48,0)</f>
        <v>0</v>
      </c>
      <c r="BB48" t="str">
        <v>Facturado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f>BF48-BH48</f>
        <v>0</v>
      </c>
      <c r="BJ48">
        <v>0</v>
      </c>
      <c r="BK48" t="str">
        <v>-</v>
      </c>
      <c r="BL48">
        <v>0</v>
      </c>
      <c r="BM48">
        <v>0</v>
      </c>
      <c r="BN48">
        <v>0</v>
      </c>
      <c r="BO48">
        <v>0</v>
      </c>
      <c r="BP48">
        <f>BO48-BN48</f>
        <v>0</v>
      </c>
      <c r="BQ48">
        <f>AP48-BO48</f>
        <v>-182275.15</v>
      </c>
    </row>
    <row r="49">
      <c r="A49" t="str">
        <v>TRP-047</v>
      </c>
      <c r="B49">
        <v>2026</v>
      </c>
      <c r="C49">
        <v>9</v>
      </c>
      <c r="D49" t="str">
        <v>sep-26</v>
      </c>
      <c r="E49" t="str">
        <v>ago-26</v>
      </c>
      <c r="F49" t="str">
        <v>29/08/2026</v>
      </c>
      <c r="G49" t="str">
        <v>Propio</v>
      </c>
      <c r="H49" t="str">
        <v>JUAN y MIGUEL</v>
      </c>
      <c r="I49" t="str">
        <v>Bruni Emilio</v>
      </c>
      <c r="J49" t="str">
        <v>6</v>
      </c>
      <c r="K49" t="str">
        <v>2</v>
      </c>
      <c r="L49" t="str">
        <v>FIORETTI</v>
      </c>
      <c r="M49" t="str">
        <v/>
      </c>
      <c r="N49" t="str">
        <v>FIORETTI</v>
      </c>
      <c r="O49" t="str">
        <v>209</v>
      </c>
      <c r="P49" t="str">
        <v>San Luis</v>
      </c>
      <c r="Q49" t="str">
        <v>La Toma</v>
      </c>
      <c r="R49" t="str">
        <v>-</v>
      </c>
      <c r="S49" t="str">
        <v>FIORETTI</v>
      </c>
      <c r="T49" t="str">
        <v>San Juan</v>
      </c>
      <c r="U49" t="str">
        <v>Cereales</v>
      </c>
      <c r="V49" t="str">
        <v>Maiz Quebrado</v>
      </c>
      <c r="W49">
        <v>0</v>
      </c>
      <c r="X49">
        <v>0</v>
      </c>
      <c r="Y49">
        <f>W49+X49</f>
        <v>0</v>
      </c>
      <c r="Z49" t="str">
        <v>Pendiente</v>
      </c>
      <c r="AA49" t="str">
        <v>Pendiente</v>
      </c>
      <c r="AB49" t="str">
        <v>29/08/2026</v>
      </c>
      <c r="AC49" t="str">
        <v>18/12/2025</v>
      </c>
      <c r="AD49">
        <v>33</v>
      </c>
      <c r="AE49" t="str">
        <v>-</v>
      </c>
      <c r="AF49">
        <v>0</v>
      </c>
      <c r="AG49">
        <v>0</v>
      </c>
      <c r="AH49">
        <f>AG49-AF49</f>
        <v>0</v>
      </c>
      <c r="AI49">
        <v>0</v>
      </c>
      <c r="AJ49" t="str">
        <v>Pendiente</v>
      </c>
      <c r="AK49" t="str">
        <v>Pendiente</v>
      </c>
      <c r="AL49" t="str">
        <v>-</v>
      </c>
      <c r="AM49" t="str">
        <v>-</v>
      </c>
      <c r="AN49">
        <v>0</v>
      </c>
      <c r="AO49">
        <v>0</v>
      </c>
      <c r="AP49">
        <f>AN49*AO49</f>
        <v>0</v>
      </c>
      <c r="AQ49">
        <f>AP49*0.21</f>
        <v>0</v>
      </c>
      <c r="AR49">
        <f>AP49+AQ49</f>
        <v>0</v>
      </c>
      <c r="AS49">
        <v>1</v>
      </c>
      <c r="AT49">
        <v>0</v>
      </c>
      <c r="AU49">
        <v>0</v>
      </c>
      <c r="AV49">
        <f>AU49*1.21</f>
        <v>0</v>
      </c>
      <c r="AW49">
        <v>0</v>
      </c>
      <c r="AX49">
        <f>AT49*AU49</f>
        <v>0</v>
      </c>
      <c r="AY49">
        <f>AX49-AW49</f>
        <v>0</v>
      </c>
      <c r="AZ49">
        <f>AP49-AX49</f>
        <v>0</v>
      </c>
      <c r="BA49">
        <f>IF(AP49&gt;0,AZ49/AP49,0)</f>
        <v>0</v>
      </c>
      <c r="BB49" t="str">
        <v>Pendiente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f>BF49-BH49</f>
        <v>0</v>
      </c>
      <c r="BJ49">
        <v>0</v>
      </c>
      <c r="BK49" t="str">
        <v>-</v>
      </c>
      <c r="BL49">
        <v>0</v>
      </c>
      <c r="BM49">
        <v>0</v>
      </c>
      <c r="BN49">
        <v>0</v>
      </c>
      <c r="BO49">
        <v>0</v>
      </c>
      <c r="BP49">
        <f>BO49-BN49</f>
        <v>0</v>
      </c>
      <c r="BQ49">
        <f>AP49-BO49</f>
        <v>0</v>
      </c>
    </row>
    <row r="50">
      <c r="A50" t="str">
        <v>TRP-048</v>
      </c>
      <c r="B50">
        <v>2026</v>
      </c>
      <c r="C50">
        <v>9</v>
      </c>
      <c r="D50" t="str">
        <v>sep-26</v>
      </c>
      <c r="E50" t="str">
        <v>ago-26</v>
      </c>
      <c r="F50" t="str">
        <v>29/08/2026</v>
      </c>
      <c r="G50" t="str">
        <v>Fletero</v>
      </c>
      <c r="H50" t="str">
        <v>Ruben Eduardo</v>
      </c>
      <c r="I50" t="str">
        <v>Moyano Esteban</v>
      </c>
      <c r="J50" t="str">
        <v>401</v>
      </c>
      <c r="K50" t="str">
        <v>2</v>
      </c>
      <c r="L50" t="str">
        <v>FIORETTI</v>
      </c>
      <c r="M50" t="str">
        <v/>
      </c>
      <c r="N50" t="str">
        <v>FIORETTI</v>
      </c>
      <c r="O50" t="str">
        <v>209</v>
      </c>
      <c r="P50" t="str">
        <v>Cordoba</v>
      </c>
      <c r="Q50" t="str">
        <v>Barranquita</v>
      </c>
      <c r="R50" t="str">
        <v>-</v>
      </c>
      <c r="S50" t="str">
        <v>FIORETTI</v>
      </c>
      <c r="T50" t="str">
        <v>San Juan</v>
      </c>
      <c r="U50" t="str">
        <v>Cereales</v>
      </c>
      <c r="V50" t="str">
        <v>Maiz Quebrado</v>
      </c>
      <c r="W50">
        <v>0</v>
      </c>
      <c r="X50">
        <v>0</v>
      </c>
      <c r="Y50">
        <f>W50+X50</f>
        <v>0</v>
      </c>
      <c r="Z50" t="str">
        <v>890</v>
      </c>
      <c r="AA50" t="str">
        <v>Pendiente</v>
      </c>
      <c r="AB50" t="str">
        <v>29/08/2026</v>
      </c>
      <c r="AC50" t="str">
        <v>18/12/2025</v>
      </c>
      <c r="AD50">
        <v>34.88</v>
      </c>
      <c r="AE50" t="str">
        <v>-</v>
      </c>
      <c r="AF50">
        <v>0</v>
      </c>
      <c r="AG50">
        <v>0</v>
      </c>
      <c r="AH50">
        <f>AG50-AF50</f>
        <v>0</v>
      </c>
      <c r="AI50">
        <v>0</v>
      </c>
      <c r="AJ50" t="str">
        <v>Pendiente</v>
      </c>
      <c r="AK50" t="str">
        <v>Pendiente</v>
      </c>
      <c r="AL50" t="str">
        <v>-</v>
      </c>
      <c r="AM50" t="str">
        <v>-</v>
      </c>
      <c r="AN50">
        <v>0</v>
      </c>
      <c r="AO50">
        <v>0</v>
      </c>
      <c r="AP50">
        <f>AN50*AO50</f>
        <v>0</v>
      </c>
      <c r="AQ50">
        <f>AP50*0.21</f>
        <v>0</v>
      </c>
      <c r="AR50">
        <f>AP50+AQ50</f>
        <v>0</v>
      </c>
      <c r="AS50">
        <v>0.27</v>
      </c>
      <c r="AT50">
        <v>0</v>
      </c>
      <c r="AU50">
        <v>0</v>
      </c>
      <c r="AV50">
        <f>AU50*1.21</f>
        <v>0</v>
      </c>
      <c r="AW50">
        <v>0</v>
      </c>
      <c r="AX50">
        <f>AT50*AU50</f>
        <v>0</v>
      </c>
      <c r="AY50">
        <f>AX50-AW50</f>
        <v>0</v>
      </c>
      <c r="AZ50">
        <f>AP50-AX50</f>
        <v>0</v>
      </c>
      <c r="BA50">
        <f>IF(AP50&gt;0,AZ50/AP50,0)</f>
        <v>0</v>
      </c>
      <c r="BB50" t="str">
        <v>Pendiente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f>BF50-BH50</f>
        <v>0</v>
      </c>
      <c r="BJ50">
        <v>0</v>
      </c>
      <c r="BK50" t="str">
        <v>-</v>
      </c>
      <c r="BL50">
        <v>0</v>
      </c>
      <c r="BM50">
        <v>0</v>
      </c>
      <c r="BN50">
        <v>0</v>
      </c>
      <c r="BO50">
        <v>0</v>
      </c>
      <c r="BP50">
        <f>BO50-BN50</f>
        <v>0</v>
      </c>
      <c r="BQ50">
        <f>AP50-BO50</f>
        <v>0</v>
      </c>
    </row>
    <row r="51">
      <c r="A51" t="str">
        <v>TRP-049</v>
      </c>
      <c r="B51">
        <v>2026</v>
      </c>
      <c r="C51">
        <v>8</v>
      </c>
      <c r="D51" t="str">
        <v>ago-26</v>
      </c>
      <c r="E51" t="str">
        <v>ago-26</v>
      </c>
      <c r="F51" t="str">
        <v>10/8/2026</v>
      </c>
      <c r="G51" t="str">
        <v>Propio</v>
      </c>
      <c r="H51" t="str">
        <v>JUAN y MIGUEL</v>
      </c>
      <c r="I51" t="str">
        <v>Conducción Propia</v>
      </c>
      <c r="J51" t="str">
        <v>10</v>
      </c>
      <c r="K51" t="str">
        <v>1</v>
      </c>
      <c r="L51" t="str">
        <v>TRANSPORTE JOSE CARLOS SRL</v>
      </c>
      <c r="M51" t="str">
        <v>1000</v>
      </c>
      <c r="N51" t="str">
        <v>TRANSPORTE JOSE CARLOS SRL</v>
      </c>
      <c r="O51" t="str">
        <v>209</v>
      </c>
      <c r="P51" t="str">
        <v>Cordoba</v>
      </c>
      <c r="Q51" t="str">
        <v>Rio Cuarto</v>
      </c>
      <c r="R51" t="str">
        <v>-</v>
      </c>
      <c r="S51" t="str">
        <v>TRANSPORTE JOSE CARLOS SRL</v>
      </c>
      <c r="T51" t="str">
        <v>Destino Operativo</v>
      </c>
      <c r="U51" t="str">
        <v>Cereales</v>
      </c>
      <c r="V51" t="str">
        <v>Maíz / Cereal</v>
      </c>
      <c r="W51">
        <v>0</v>
      </c>
      <c r="X51">
        <v>0</v>
      </c>
      <c r="Y51">
        <f>W51+X51</f>
        <v>0</v>
      </c>
      <c r="Z51" t="str">
        <v>REM-5224</v>
      </c>
      <c r="AA51" t="str">
        <v>107050</v>
      </c>
      <c r="AB51" t="str">
        <v>10/8/2026</v>
      </c>
      <c r="AC51" t="str">
        <v>10/8/2026</v>
      </c>
      <c r="AD51">
        <v>30.3</v>
      </c>
      <c r="AE51" t="str">
        <v>-</v>
      </c>
      <c r="AF51">
        <v>0</v>
      </c>
      <c r="AG51">
        <v>0</v>
      </c>
      <c r="AH51">
        <f>AG51-AF51</f>
        <v>0</v>
      </c>
      <c r="AI51">
        <v>0</v>
      </c>
      <c r="AJ51" t="str">
        <v>12-5224</v>
      </c>
      <c r="AK51" t="str">
        <v>10/8/2026</v>
      </c>
      <c r="AL51" t="str">
        <v>-</v>
      </c>
      <c r="AM51" t="str">
        <v>-</v>
      </c>
      <c r="AN51">
        <v>30.3</v>
      </c>
      <c r="AO51">
        <v>4254.26</v>
      </c>
      <c r="AP51">
        <f>AN51*AO51</f>
        <v>128904</v>
      </c>
      <c r="AQ51">
        <f>AP51*0.21</f>
        <v>27069.84</v>
      </c>
      <c r="AR51">
        <f>AP51+AQ51</f>
        <v>155973.84</v>
      </c>
      <c r="AS51">
        <v>1</v>
      </c>
      <c r="AT51">
        <v>0</v>
      </c>
      <c r="AU51">
        <v>0</v>
      </c>
      <c r="AV51">
        <f>AU51*1.21</f>
        <v>0</v>
      </c>
      <c r="AW51">
        <v>0</v>
      </c>
      <c r="AX51">
        <f>AT51*AU51</f>
        <v>0</v>
      </c>
      <c r="AY51">
        <f>AX51-AW51</f>
        <v>0</v>
      </c>
      <c r="AZ51">
        <f>AP51-AX51</f>
        <v>128904</v>
      </c>
      <c r="BA51">
        <f>IF(AP51&gt;0,AZ51/AP51,0)</f>
        <v>1</v>
      </c>
      <c r="BB51" t="str">
        <v>Facturado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f>BF51-BH51</f>
        <v>0</v>
      </c>
      <c r="BJ51">
        <v>0</v>
      </c>
      <c r="BK51" t="str">
        <v>-</v>
      </c>
      <c r="BL51">
        <v>0</v>
      </c>
      <c r="BM51">
        <v>0</v>
      </c>
      <c r="BN51">
        <v>0</v>
      </c>
      <c r="BO51">
        <v>0</v>
      </c>
      <c r="BP51">
        <f>BO51-BN51</f>
        <v>0</v>
      </c>
      <c r="BQ51">
        <f>AP51-BO51</f>
        <v>128904</v>
      </c>
    </row>
    <row r="52">
      <c r="A52" t="str">
        <v>TRP-050</v>
      </c>
      <c r="B52">
        <v>2026</v>
      </c>
      <c r="C52">
        <v>8</v>
      </c>
      <c r="D52" t="str">
        <v>ago-26</v>
      </c>
      <c r="E52" t="str">
        <v>ago-26</v>
      </c>
      <c r="F52" t="str">
        <v>26/8/2026</v>
      </c>
      <c r="G52" t="str">
        <v>Propio</v>
      </c>
      <c r="H52" t="str">
        <v>JUAN y MIGUEL</v>
      </c>
      <c r="I52" t="str">
        <v>Conducción Propia</v>
      </c>
      <c r="J52" t="str">
        <v>10</v>
      </c>
      <c r="K52" t="str">
        <v>1</v>
      </c>
      <c r="L52" t="str">
        <v>RUBEN EDUARDO EZEQUIEL</v>
      </c>
      <c r="M52" t="str">
        <v>1000</v>
      </c>
      <c r="N52" t="str">
        <v>RUBEN EDUARDO EZEQUIEL</v>
      </c>
      <c r="O52" t="str">
        <v>209</v>
      </c>
      <c r="P52" t="str">
        <v>Cordoba</v>
      </c>
      <c r="Q52" t="str">
        <v>Rio Cuarto</v>
      </c>
      <c r="R52" t="str">
        <v>-</v>
      </c>
      <c r="S52" t="str">
        <v>RUBEN EDUARDO EZEQUIEL</v>
      </c>
      <c r="T52" t="str">
        <v>Destino Operativo</v>
      </c>
      <c r="U52" t="str">
        <v>Cereales</v>
      </c>
      <c r="V52" t="str">
        <v>Maíz / Cereal</v>
      </c>
      <c r="W52">
        <v>0</v>
      </c>
      <c r="X52">
        <v>0</v>
      </c>
      <c r="Y52">
        <f>W52+X52</f>
        <v>0</v>
      </c>
      <c r="Z52" t="str">
        <v>REM-5244</v>
      </c>
      <c r="AA52" t="str">
        <v>107051</v>
      </c>
      <c r="AB52" t="str">
        <v>26/8/2026</v>
      </c>
      <c r="AC52" t="str">
        <v>26/8/2026</v>
      </c>
      <c r="AD52">
        <v>1.41</v>
      </c>
      <c r="AE52" t="str">
        <v>-</v>
      </c>
      <c r="AF52">
        <v>0</v>
      </c>
      <c r="AG52">
        <v>0</v>
      </c>
      <c r="AH52">
        <f>AG52-AF52</f>
        <v>0</v>
      </c>
      <c r="AI52">
        <v>0</v>
      </c>
      <c r="AJ52" t="str">
        <v>12-5244</v>
      </c>
      <c r="AK52" t="str">
        <v>26/8/2026</v>
      </c>
      <c r="AL52" t="str">
        <v>-</v>
      </c>
      <c r="AM52" t="str">
        <v>-</v>
      </c>
      <c r="AN52">
        <v>1.41</v>
      </c>
      <c r="AO52">
        <v>4255.32</v>
      </c>
      <c r="AP52">
        <f>AN52*AO52</f>
        <v>6000</v>
      </c>
      <c r="AQ52">
        <f>AP52*0.21</f>
        <v>1260</v>
      </c>
      <c r="AR52">
        <f>AP52+AQ52</f>
        <v>7260</v>
      </c>
      <c r="AS52">
        <v>1</v>
      </c>
      <c r="AT52">
        <v>0</v>
      </c>
      <c r="AU52">
        <v>0</v>
      </c>
      <c r="AV52">
        <f>AU52*1.21</f>
        <v>0</v>
      </c>
      <c r="AW52">
        <v>0</v>
      </c>
      <c r="AX52">
        <f>AT52*AU52</f>
        <v>0</v>
      </c>
      <c r="AY52">
        <f>AX52-AW52</f>
        <v>0</v>
      </c>
      <c r="AZ52">
        <f>AP52-AX52</f>
        <v>6000</v>
      </c>
      <c r="BA52">
        <f>IF(AP52&gt;0,AZ52/AP52,0)</f>
        <v>1</v>
      </c>
      <c r="BB52" t="str">
        <v>Facturado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f>BF52-BH52</f>
        <v>0</v>
      </c>
      <c r="BJ52">
        <v>0</v>
      </c>
      <c r="BK52" t="str">
        <v>-</v>
      </c>
      <c r="BL52">
        <v>0</v>
      </c>
      <c r="BM52">
        <v>0</v>
      </c>
      <c r="BN52">
        <v>0</v>
      </c>
      <c r="BO52">
        <v>0</v>
      </c>
      <c r="BP52">
        <f>BO52-BN52</f>
        <v>0</v>
      </c>
      <c r="BQ52">
        <f>AP52-BO52</f>
        <v>6000</v>
      </c>
    </row>
    <row r="53">
      <c r="A53" t="str">
        <v>TRP-051</v>
      </c>
      <c r="B53">
        <v>2026</v>
      </c>
      <c r="C53">
        <v>8</v>
      </c>
      <c r="D53" t="str">
        <v>ago-26</v>
      </c>
      <c r="E53" t="str">
        <v>ago-26</v>
      </c>
      <c r="F53" t="str">
        <v>26/8/2026</v>
      </c>
      <c r="G53" t="str">
        <v>Propio</v>
      </c>
      <c r="H53" t="str">
        <v>JUAN y MIGUEL</v>
      </c>
      <c r="I53" t="str">
        <v>Conducción Propia</v>
      </c>
      <c r="J53" t="str">
        <v>10</v>
      </c>
      <c r="K53" t="str">
        <v>1</v>
      </c>
      <c r="L53" t="str">
        <v>RUBEN EMANUEL ALEJANDRO</v>
      </c>
      <c r="M53" t="str">
        <v>1000</v>
      </c>
      <c r="N53" t="str">
        <v>RUBEN EMANUEL ALEJANDRO</v>
      </c>
      <c r="O53" t="str">
        <v>209</v>
      </c>
      <c r="P53" t="str">
        <v>Cordoba</v>
      </c>
      <c r="Q53" t="str">
        <v>Rio Cuarto</v>
      </c>
      <c r="R53" t="str">
        <v>-</v>
      </c>
      <c r="S53" t="str">
        <v>RUBEN EMANUEL ALEJANDRO</v>
      </c>
      <c r="T53" t="str">
        <v>Destino Operativo</v>
      </c>
      <c r="U53" t="str">
        <v>Cereales</v>
      </c>
      <c r="V53" t="str">
        <v>Maíz / Cereal</v>
      </c>
      <c r="W53">
        <v>0</v>
      </c>
      <c r="X53">
        <v>0</v>
      </c>
      <c r="Y53">
        <f>W53+X53</f>
        <v>0</v>
      </c>
      <c r="Z53" t="str">
        <v>REM-5243</v>
      </c>
      <c r="AA53" t="str">
        <v>107052</v>
      </c>
      <c r="AB53" t="str">
        <v>26/8/2026</v>
      </c>
      <c r="AC53" t="str">
        <v>26/8/2026</v>
      </c>
      <c r="AD53">
        <v>1.41</v>
      </c>
      <c r="AE53" t="str">
        <v>-</v>
      </c>
      <c r="AF53">
        <v>0</v>
      </c>
      <c r="AG53">
        <v>0</v>
      </c>
      <c r="AH53">
        <f>AG53-AF53</f>
        <v>0</v>
      </c>
      <c r="AI53">
        <v>0</v>
      </c>
      <c r="AJ53" t="str">
        <v>12-5243</v>
      </c>
      <c r="AK53" t="str">
        <v>26/8/2026</v>
      </c>
      <c r="AL53" t="str">
        <v>-</v>
      </c>
      <c r="AM53" t="str">
        <v>-</v>
      </c>
      <c r="AN53">
        <v>1.41</v>
      </c>
      <c r="AO53">
        <v>4255.32</v>
      </c>
      <c r="AP53">
        <f>AN53*AO53</f>
        <v>6000</v>
      </c>
      <c r="AQ53">
        <f>AP53*0.21</f>
        <v>1260</v>
      </c>
      <c r="AR53">
        <f>AP53+AQ53</f>
        <v>7260</v>
      </c>
      <c r="AS53">
        <v>1</v>
      </c>
      <c r="AT53">
        <v>0</v>
      </c>
      <c r="AU53">
        <v>0</v>
      </c>
      <c r="AV53">
        <f>AU53*1.21</f>
        <v>0</v>
      </c>
      <c r="AW53">
        <v>0</v>
      </c>
      <c r="AX53">
        <f>AT53*AU53</f>
        <v>0</v>
      </c>
      <c r="AY53">
        <f>AX53-AW53</f>
        <v>0</v>
      </c>
      <c r="AZ53">
        <f>AP53-AX53</f>
        <v>6000</v>
      </c>
      <c r="BA53">
        <f>IF(AP53&gt;0,AZ53/AP53,0)</f>
        <v>1</v>
      </c>
      <c r="BB53" t="str">
        <v>Facturado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f>BF53-BH53</f>
        <v>0</v>
      </c>
      <c r="BJ53">
        <v>0</v>
      </c>
      <c r="BK53" t="str">
        <v>-</v>
      </c>
      <c r="BL53">
        <v>0</v>
      </c>
      <c r="BM53">
        <v>0</v>
      </c>
      <c r="BN53">
        <v>0</v>
      </c>
      <c r="BO53">
        <v>0</v>
      </c>
      <c r="BP53">
        <f>BO53-BN53</f>
        <v>0</v>
      </c>
      <c r="BQ53">
        <f>AP53-BO53</f>
        <v>6000</v>
      </c>
    </row>
    <row r="54">
      <c r="A54" t="str">
        <v>TRP-052</v>
      </c>
      <c r="B54">
        <v>2026</v>
      </c>
      <c r="C54">
        <v>8</v>
      </c>
      <c r="D54" t="str">
        <v>ago-26</v>
      </c>
      <c r="E54" t="str">
        <v>ago-26</v>
      </c>
      <c r="F54" t="str">
        <v>26/8/2026</v>
      </c>
      <c r="G54" t="str">
        <v>Propio</v>
      </c>
      <c r="H54" t="str">
        <v>JUAN y MIGUEL</v>
      </c>
      <c r="I54" t="str">
        <v>Conducción Propia</v>
      </c>
      <c r="J54" t="str">
        <v>10</v>
      </c>
      <c r="K54" t="str">
        <v>1</v>
      </c>
      <c r="L54" t="str">
        <v>RUBEN EDUARDO JOSE</v>
      </c>
      <c r="M54" t="str">
        <v>1000</v>
      </c>
      <c r="N54" t="str">
        <v>RUBEN EDUARDO JOSE</v>
      </c>
      <c r="O54" t="str">
        <v>209</v>
      </c>
      <c r="P54" t="str">
        <v>Cordoba</v>
      </c>
      <c r="Q54" t="str">
        <v>Rio Cuarto</v>
      </c>
      <c r="R54" t="str">
        <v>-</v>
      </c>
      <c r="S54" t="str">
        <v>RUBEN EDUARDO JOSE</v>
      </c>
      <c r="T54" t="str">
        <v>Destino Operativo</v>
      </c>
      <c r="U54" t="str">
        <v>Cereales</v>
      </c>
      <c r="V54" t="str">
        <v>Maíz / Cereal</v>
      </c>
      <c r="W54">
        <v>0</v>
      </c>
      <c r="X54">
        <v>0</v>
      </c>
      <c r="Y54">
        <f>W54+X54</f>
        <v>0</v>
      </c>
      <c r="Z54" t="str">
        <v>REM-5242</v>
      </c>
      <c r="AA54" t="str">
        <v>107053</v>
      </c>
      <c r="AB54" t="str">
        <v>26/8/2026</v>
      </c>
      <c r="AC54" t="str">
        <v>26/8/2026</v>
      </c>
      <c r="AD54">
        <v>1.41</v>
      </c>
      <c r="AE54" t="str">
        <v>-</v>
      </c>
      <c r="AF54">
        <v>0</v>
      </c>
      <c r="AG54">
        <v>0</v>
      </c>
      <c r="AH54">
        <f>AG54-AF54</f>
        <v>0</v>
      </c>
      <c r="AI54">
        <v>0</v>
      </c>
      <c r="AJ54" t="str">
        <v>12-5242</v>
      </c>
      <c r="AK54" t="str">
        <v>26/8/2026</v>
      </c>
      <c r="AL54" t="str">
        <v>-</v>
      </c>
      <c r="AM54" t="str">
        <v>-</v>
      </c>
      <c r="AN54">
        <v>1.41</v>
      </c>
      <c r="AO54">
        <v>4255.32</v>
      </c>
      <c r="AP54">
        <f>AN54*AO54</f>
        <v>6000</v>
      </c>
      <c r="AQ54">
        <f>AP54*0.21</f>
        <v>1260</v>
      </c>
      <c r="AR54">
        <f>AP54+AQ54</f>
        <v>7260</v>
      </c>
      <c r="AS54">
        <v>1</v>
      </c>
      <c r="AT54">
        <v>0</v>
      </c>
      <c r="AU54">
        <v>0</v>
      </c>
      <c r="AV54">
        <f>AU54*1.21</f>
        <v>0</v>
      </c>
      <c r="AW54">
        <v>0</v>
      </c>
      <c r="AX54">
        <f>AT54*AU54</f>
        <v>0</v>
      </c>
      <c r="AY54">
        <f>AX54-AW54</f>
        <v>0</v>
      </c>
      <c r="AZ54">
        <f>AP54-AX54</f>
        <v>6000</v>
      </c>
      <c r="BA54">
        <f>IF(AP54&gt;0,AZ54/AP54,0)</f>
        <v>1</v>
      </c>
      <c r="BB54" t="str">
        <v>Facturado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f>BF54-BH54</f>
        <v>0</v>
      </c>
      <c r="BJ54">
        <v>0</v>
      </c>
      <c r="BK54" t="str">
        <v>-</v>
      </c>
      <c r="BL54">
        <v>0</v>
      </c>
      <c r="BM54">
        <v>0</v>
      </c>
      <c r="BN54">
        <v>0</v>
      </c>
      <c r="BO54">
        <v>0</v>
      </c>
      <c r="BP54">
        <f>BO54-BN54</f>
        <v>0</v>
      </c>
      <c r="BQ54">
        <f>AP54-BO54</f>
        <v>6000</v>
      </c>
    </row>
    <row r="55">
      <c r="A55" t="str">
        <v>TRP-053</v>
      </c>
      <c r="B55">
        <v>2026</v>
      </c>
      <c r="C55">
        <v>8</v>
      </c>
      <c r="D55" t="str">
        <v>ago-26</v>
      </c>
      <c r="E55" t="str">
        <v>ago-26</v>
      </c>
      <c r="F55" t="str">
        <v>14/8/2026</v>
      </c>
      <c r="G55" t="str">
        <v>Propio</v>
      </c>
      <c r="H55" t="str">
        <v>JUAN y MIGUEL</v>
      </c>
      <c r="I55" t="str">
        <v>Conducción Propia</v>
      </c>
      <c r="J55" t="str">
        <v>10</v>
      </c>
      <c r="K55" t="str">
        <v>1</v>
      </c>
      <c r="L55" t="str">
        <v>HECTOR A BERTONE</v>
      </c>
      <c r="M55" t="str">
        <v>1000</v>
      </c>
      <c r="N55" t="str">
        <v>HECTOR A BERTONE</v>
      </c>
      <c r="O55" t="str">
        <v>209</v>
      </c>
      <c r="P55" t="str">
        <v>Cordoba</v>
      </c>
      <c r="Q55" t="str">
        <v>Rio Cuarto</v>
      </c>
      <c r="R55" t="str">
        <v>-</v>
      </c>
      <c r="S55" t="str">
        <v>HECTOR A BERTONE</v>
      </c>
      <c r="T55" t="str">
        <v>Destino Operativo</v>
      </c>
      <c r="U55" t="str">
        <v>Cereales</v>
      </c>
      <c r="V55" t="str">
        <v>Maíz / Cereal</v>
      </c>
      <c r="W55">
        <v>0</v>
      </c>
      <c r="X55">
        <v>0</v>
      </c>
      <c r="Y55">
        <f>W55+X55</f>
        <v>0</v>
      </c>
      <c r="Z55" t="str">
        <v>REM-5229</v>
      </c>
      <c r="AA55" t="str">
        <v>107054</v>
      </c>
      <c r="AB55" t="str">
        <v>14/8/2026</v>
      </c>
      <c r="AC55" t="str">
        <v>14/8/2026</v>
      </c>
      <c r="AD55">
        <v>39.57</v>
      </c>
      <c r="AE55" t="str">
        <v>-</v>
      </c>
      <c r="AF55">
        <v>0</v>
      </c>
      <c r="AG55">
        <v>0</v>
      </c>
      <c r="AH55">
        <f>AG55-AF55</f>
        <v>0</v>
      </c>
      <c r="AI55">
        <v>0</v>
      </c>
      <c r="AJ55" t="str">
        <v>12-5229</v>
      </c>
      <c r="AK55" t="str">
        <v>14/8/2026</v>
      </c>
      <c r="AL55" t="str">
        <v>-</v>
      </c>
      <c r="AM55" t="str">
        <v>-</v>
      </c>
      <c r="AN55">
        <v>39.57</v>
      </c>
      <c r="AO55">
        <v>4255.14</v>
      </c>
      <c r="AP55">
        <f>AN55*AO55</f>
        <v>168376</v>
      </c>
      <c r="AQ55">
        <f>AP55*0.21</f>
        <v>35358.96</v>
      </c>
      <c r="AR55">
        <f>AP55+AQ55</f>
        <v>203734.96</v>
      </c>
      <c r="AS55">
        <v>1</v>
      </c>
      <c r="AT55">
        <v>0</v>
      </c>
      <c r="AU55">
        <v>0</v>
      </c>
      <c r="AV55">
        <f>AU55*1.21</f>
        <v>0</v>
      </c>
      <c r="AW55">
        <v>0</v>
      </c>
      <c r="AX55">
        <f>AT55*AU55</f>
        <v>0</v>
      </c>
      <c r="AY55">
        <f>AX55-AW55</f>
        <v>0</v>
      </c>
      <c r="AZ55">
        <f>AP55-AX55</f>
        <v>168376</v>
      </c>
      <c r="BA55">
        <f>IF(AP55&gt;0,AZ55/AP55,0)</f>
        <v>1</v>
      </c>
      <c r="BB55" t="str">
        <v>Facturado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f>BF55-BH55</f>
        <v>0</v>
      </c>
      <c r="BJ55">
        <v>0</v>
      </c>
      <c r="BK55" t="str">
        <v>-</v>
      </c>
      <c r="BL55">
        <v>0</v>
      </c>
      <c r="BM55">
        <v>0</v>
      </c>
      <c r="BN55">
        <v>0</v>
      </c>
      <c r="BO55">
        <v>0</v>
      </c>
      <c r="BP55">
        <f>BO55-BN55</f>
        <v>0</v>
      </c>
      <c r="BQ55">
        <f>AP55-BO55</f>
        <v>168376</v>
      </c>
    </row>
    <row r="56">
      <c r="A56" t="str">
        <v>TRP-054</v>
      </c>
      <c r="B56">
        <v>2026</v>
      </c>
      <c r="C56">
        <v>8</v>
      </c>
      <c r="D56" t="str">
        <v>ago-26</v>
      </c>
      <c r="E56" t="str">
        <v>ago-26</v>
      </c>
      <c r="F56" t="str">
        <v>31/8/2026</v>
      </c>
      <c r="G56" t="str">
        <v>Propio</v>
      </c>
      <c r="H56" t="str">
        <v>JUAN y MIGUEL</v>
      </c>
      <c r="I56" t="str">
        <v>Conducción Propia</v>
      </c>
      <c r="J56" t="str">
        <v>10</v>
      </c>
      <c r="K56" t="str">
        <v>1</v>
      </c>
      <c r="L56" t="str">
        <v>GALEAZZI FRANCO MAURICIO</v>
      </c>
      <c r="M56" t="str">
        <v>1000</v>
      </c>
      <c r="N56" t="str">
        <v>GALEAZZI FRANCO MAURICIO</v>
      </c>
      <c r="O56" t="str">
        <v>209</v>
      </c>
      <c r="P56" t="str">
        <v>Cordoba</v>
      </c>
      <c r="Q56" t="str">
        <v>Rio Cuarto</v>
      </c>
      <c r="R56" t="str">
        <v>-</v>
      </c>
      <c r="S56" t="str">
        <v>GALEAZZI FRANCO MAURICIO</v>
      </c>
      <c r="T56" t="str">
        <v>Destino Operativo</v>
      </c>
      <c r="U56" t="str">
        <v>Cereales</v>
      </c>
      <c r="V56" t="str">
        <v>Maíz / Cereal</v>
      </c>
      <c r="W56">
        <v>0</v>
      </c>
      <c r="X56">
        <v>0</v>
      </c>
      <c r="Y56">
        <f>W56+X56</f>
        <v>0</v>
      </c>
      <c r="Z56" t="str">
        <v>REM-5249</v>
      </c>
      <c r="AA56" t="str">
        <v>107055</v>
      </c>
      <c r="AB56" t="str">
        <v>31/8/2026</v>
      </c>
      <c r="AC56" t="str">
        <v>31/8/2026</v>
      </c>
      <c r="AD56">
        <v>17.4</v>
      </c>
      <c r="AE56" t="str">
        <v>-</v>
      </c>
      <c r="AF56">
        <v>0</v>
      </c>
      <c r="AG56">
        <v>0</v>
      </c>
      <c r="AH56">
        <f>AG56-AF56</f>
        <v>0</v>
      </c>
      <c r="AI56">
        <v>0</v>
      </c>
      <c r="AJ56" t="str">
        <v>12-5249</v>
      </c>
      <c r="AK56" t="str">
        <v>31/8/2026</v>
      </c>
      <c r="AL56" t="str">
        <v>-</v>
      </c>
      <c r="AM56" t="str">
        <v>-</v>
      </c>
      <c r="AN56">
        <v>17.4</v>
      </c>
      <c r="AO56">
        <v>4255.75</v>
      </c>
      <c r="AP56">
        <f>AN56*AO56</f>
        <v>74050</v>
      </c>
      <c r="AQ56">
        <f>AP56*0.21</f>
        <v>15550.5</v>
      </c>
      <c r="AR56">
        <f>AP56+AQ56</f>
        <v>89600.5</v>
      </c>
      <c r="AS56">
        <v>1</v>
      </c>
      <c r="AT56">
        <v>0</v>
      </c>
      <c r="AU56">
        <v>0</v>
      </c>
      <c r="AV56">
        <f>AU56*1.21</f>
        <v>0</v>
      </c>
      <c r="AW56">
        <v>0</v>
      </c>
      <c r="AX56">
        <f>AT56*AU56</f>
        <v>0</v>
      </c>
      <c r="AY56">
        <f>AX56-AW56</f>
        <v>0</v>
      </c>
      <c r="AZ56">
        <f>AP56-AX56</f>
        <v>74050</v>
      </c>
      <c r="BA56">
        <f>IF(AP56&gt;0,AZ56/AP56,0)</f>
        <v>1</v>
      </c>
      <c r="BB56" t="str">
        <v>Facturado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f>BF56-BH56</f>
        <v>0</v>
      </c>
      <c r="BJ56">
        <v>0</v>
      </c>
      <c r="BK56" t="str">
        <v>-</v>
      </c>
      <c r="BL56">
        <v>0</v>
      </c>
      <c r="BM56">
        <v>0</v>
      </c>
      <c r="BN56">
        <v>0</v>
      </c>
      <c r="BO56">
        <v>0</v>
      </c>
      <c r="BP56">
        <f>BO56-BN56</f>
        <v>0</v>
      </c>
      <c r="BQ56">
        <f>AP56-BO56</f>
        <v>74050</v>
      </c>
    </row>
    <row r="57">
      <c r="A57" t="str">
        <v>TRP-055</v>
      </c>
      <c r="B57">
        <v>2026</v>
      </c>
      <c r="C57">
        <v>8</v>
      </c>
      <c r="D57" t="str">
        <v>ago-26</v>
      </c>
      <c r="E57" t="str">
        <v>ago-26</v>
      </c>
      <c r="F57" t="str">
        <v>10/8/2026</v>
      </c>
      <c r="G57" t="str">
        <v>Propio</v>
      </c>
      <c r="H57" t="str">
        <v>JUAN y MIGUEL</v>
      </c>
      <c r="I57" t="str">
        <v>Conducción Propia</v>
      </c>
      <c r="J57" t="str">
        <v>10</v>
      </c>
      <c r="K57" t="str">
        <v>1</v>
      </c>
      <c r="L57" t="str">
        <v>ALACAL SRL</v>
      </c>
      <c r="M57" t="str">
        <v>1000</v>
      </c>
      <c r="N57" t="str">
        <v>ALACAL SRL</v>
      </c>
      <c r="O57" t="str">
        <v>209</v>
      </c>
      <c r="P57" t="str">
        <v>Cordoba</v>
      </c>
      <c r="Q57" t="str">
        <v>Rio Cuarto</v>
      </c>
      <c r="R57" t="str">
        <v>-</v>
      </c>
      <c r="S57" t="str">
        <v>ALACAL SRL</v>
      </c>
      <c r="T57" t="str">
        <v>Destino Operativo</v>
      </c>
      <c r="U57" t="str">
        <v>Cereales</v>
      </c>
      <c r="V57" t="str">
        <v>Maíz / Cereal</v>
      </c>
      <c r="W57">
        <v>0</v>
      </c>
      <c r="X57">
        <v>0</v>
      </c>
      <c r="Y57">
        <f>W57+X57</f>
        <v>0</v>
      </c>
      <c r="Z57" t="str">
        <v>REM-5227</v>
      </c>
      <c r="AA57" t="str">
        <v>107056</v>
      </c>
      <c r="AB57" t="str">
        <v>10/8/2026</v>
      </c>
      <c r="AC57" t="str">
        <v>10/8/2026</v>
      </c>
      <c r="AD57">
        <v>80.26</v>
      </c>
      <c r="AE57" t="str">
        <v>-</v>
      </c>
      <c r="AF57">
        <v>0</v>
      </c>
      <c r="AG57">
        <v>0</v>
      </c>
      <c r="AH57">
        <f>AG57-AF57</f>
        <v>0</v>
      </c>
      <c r="AI57">
        <v>0</v>
      </c>
      <c r="AJ57" t="str">
        <v>12-5227</v>
      </c>
      <c r="AK57" t="str">
        <v>10/8/2026</v>
      </c>
      <c r="AL57" t="str">
        <v>-</v>
      </c>
      <c r="AM57" t="str">
        <v>-</v>
      </c>
      <c r="AN57">
        <v>80.26</v>
      </c>
      <c r="AO57">
        <v>4255.13</v>
      </c>
      <c r="AP57">
        <f>AN57*AO57</f>
        <v>341517</v>
      </c>
      <c r="AQ57">
        <f>AP57*0.21</f>
        <v>71718.57</v>
      </c>
      <c r="AR57">
        <f>AP57+AQ57</f>
        <v>413235.57</v>
      </c>
      <c r="AS57">
        <v>1</v>
      </c>
      <c r="AT57">
        <v>0</v>
      </c>
      <c r="AU57">
        <v>0</v>
      </c>
      <c r="AV57">
        <f>AU57*1.21</f>
        <v>0</v>
      </c>
      <c r="AW57">
        <v>0</v>
      </c>
      <c r="AX57">
        <f>AT57*AU57</f>
        <v>0</v>
      </c>
      <c r="AY57">
        <f>AX57-AW57</f>
        <v>0</v>
      </c>
      <c r="AZ57">
        <f>AP57-AX57</f>
        <v>341517</v>
      </c>
      <c r="BA57">
        <f>IF(AP57&gt;0,AZ57/AP57,0)</f>
        <v>1</v>
      </c>
      <c r="BB57" t="str">
        <v>Facturado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f>BF57-BH57</f>
        <v>0</v>
      </c>
      <c r="BJ57">
        <v>0</v>
      </c>
      <c r="BK57" t="str">
        <v>-</v>
      </c>
      <c r="BL57">
        <v>0</v>
      </c>
      <c r="BM57">
        <v>0</v>
      </c>
      <c r="BN57">
        <v>0</v>
      </c>
      <c r="BO57">
        <v>0</v>
      </c>
      <c r="BP57">
        <f>BO57-BN57</f>
        <v>0</v>
      </c>
      <c r="BQ57">
        <f>AP57-BO57</f>
        <v>341517</v>
      </c>
    </row>
    <row r="58">
      <c r="A58" t="str">
        <v>TRP-056</v>
      </c>
      <c r="B58">
        <v>2026</v>
      </c>
      <c r="C58">
        <v>8</v>
      </c>
      <c r="D58" t="str">
        <v>ago-26</v>
      </c>
      <c r="E58" t="str">
        <v>ago-26</v>
      </c>
      <c r="F58" t="str">
        <v>14/8/2026</v>
      </c>
      <c r="G58" t="str">
        <v>Propio</v>
      </c>
      <c r="H58" t="str">
        <v>JUAN y MIGUEL</v>
      </c>
      <c r="I58" t="str">
        <v>Conducción Propia</v>
      </c>
      <c r="J58" t="str">
        <v>10</v>
      </c>
      <c r="K58" t="str">
        <v>1</v>
      </c>
      <c r="L58" t="str">
        <v>ALACAL SRL</v>
      </c>
      <c r="M58" t="str">
        <v>1000</v>
      </c>
      <c r="N58" t="str">
        <v>ALACAL SRL</v>
      </c>
      <c r="O58" t="str">
        <v>209</v>
      </c>
      <c r="P58" t="str">
        <v>Cordoba</v>
      </c>
      <c r="Q58" t="str">
        <v>Rio Cuarto</v>
      </c>
      <c r="R58" t="str">
        <v>-</v>
      </c>
      <c r="S58" t="str">
        <v>ALACAL SRL</v>
      </c>
      <c r="T58" t="str">
        <v>Destino Operativo</v>
      </c>
      <c r="U58" t="str">
        <v>Cereales</v>
      </c>
      <c r="V58" t="str">
        <v>Maíz / Cereal</v>
      </c>
      <c r="W58">
        <v>0</v>
      </c>
      <c r="X58">
        <v>0</v>
      </c>
      <c r="Y58">
        <f>W58+X58</f>
        <v>0</v>
      </c>
      <c r="Z58" t="str">
        <v>REM-5230</v>
      </c>
      <c r="AA58" t="str">
        <v>107057</v>
      </c>
      <c r="AB58" t="str">
        <v>14/8/2026</v>
      </c>
      <c r="AC58" t="str">
        <v>14/8/2026</v>
      </c>
      <c r="AD58">
        <v>105.04</v>
      </c>
      <c r="AE58" t="str">
        <v>-</v>
      </c>
      <c r="AF58">
        <v>0</v>
      </c>
      <c r="AG58">
        <v>0</v>
      </c>
      <c r="AH58">
        <f>AG58-AF58</f>
        <v>0</v>
      </c>
      <c r="AI58">
        <v>0</v>
      </c>
      <c r="AJ58" t="str">
        <v>12-5230</v>
      </c>
      <c r="AK58" t="str">
        <v>14/8/2026</v>
      </c>
      <c r="AL58" t="str">
        <v>-</v>
      </c>
      <c r="AM58" t="str">
        <v>-</v>
      </c>
      <c r="AN58">
        <v>105.04</v>
      </c>
      <c r="AO58">
        <v>4255.06</v>
      </c>
      <c r="AP58">
        <f>AN58*AO58</f>
        <v>446952</v>
      </c>
      <c r="AQ58">
        <f>AP58*0.21</f>
        <v>93859.92</v>
      </c>
      <c r="AR58">
        <f>AP58+AQ58</f>
        <v>540811.92</v>
      </c>
      <c r="AS58">
        <v>1</v>
      </c>
      <c r="AT58">
        <v>0</v>
      </c>
      <c r="AU58">
        <v>0</v>
      </c>
      <c r="AV58">
        <f>AU58*1.21</f>
        <v>0</v>
      </c>
      <c r="AW58">
        <v>0</v>
      </c>
      <c r="AX58">
        <f>AT58*AU58</f>
        <v>0</v>
      </c>
      <c r="AY58">
        <f>AX58-AW58</f>
        <v>0</v>
      </c>
      <c r="AZ58">
        <f>AP58-AX58</f>
        <v>446952</v>
      </c>
      <c r="BA58">
        <f>IF(AP58&gt;0,AZ58/AP58,0)</f>
        <v>1</v>
      </c>
      <c r="BB58" t="str">
        <v>Facturado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f>BF58-BH58</f>
        <v>0</v>
      </c>
      <c r="BJ58">
        <v>0</v>
      </c>
      <c r="BK58" t="str">
        <v>-</v>
      </c>
      <c r="BL58">
        <v>0</v>
      </c>
      <c r="BM58">
        <v>0</v>
      </c>
      <c r="BN58">
        <v>0</v>
      </c>
      <c r="BO58">
        <v>0</v>
      </c>
      <c r="BP58">
        <f>BO58-BN58</f>
        <v>0</v>
      </c>
      <c r="BQ58">
        <f>AP58-BO58</f>
        <v>446952</v>
      </c>
    </row>
    <row r="59">
      <c r="A59" t="str">
        <v>TRP-057</v>
      </c>
      <c r="B59">
        <v>2026</v>
      </c>
      <c r="C59">
        <v>8</v>
      </c>
      <c r="D59" t="str">
        <v>ago-26</v>
      </c>
      <c r="E59" t="str">
        <v>ago-26</v>
      </c>
      <c r="F59" t="str">
        <v>24/8/2026</v>
      </c>
      <c r="G59" t="str">
        <v>Propio</v>
      </c>
      <c r="H59" t="str">
        <v>JUAN y MIGUEL</v>
      </c>
      <c r="I59" t="str">
        <v>Conducción Propia</v>
      </c>
      <c r="J59" t="str">
        <v>10</v>
      </c>
      <c r="K59" t="str">
        <v>1</v>
      </c>
      <c r="L59" t="str">
        <v>ALACAL SRL</v>
      </c>
      <c r="M59" t="str">
        <v>1000</v>
      </c>
      <c r="N59" t="str">
        <v>ALACAL SRL</v>
      </c>
      <c r="O59" t="str">
        <v>209</v>
      </c>
      <c r="P59" t="str">
        <v>Cordoba</v>
      </c>
      <c r="Q59" t="str">
        <v>Rio Cuarto</v>
      </c>
      <c r="R59" t="str">
        <v>-</v>
      </c>
      <c r="S59" t="str">
        <v>ALACAL SRL</v>
      </c>
      <c r="T59" t="str">
        <v>Destino Operativo</v>
      </c>
      <c r="U59" t="str">
        <v>Cereales</v>
      </c>
      <c r="V59" t="str">
        <v>Maíz / Cereal</v>
      </c>
      <c r="W59">
        <v>0</v>
      </c>
      <c r="X59">
        <v>0</v>
      </c>
      <c r="Y59">
        <f>W59+X59</f>
        <v>0</v>
      </c>
      <c r="Z59" t="str">
        <v>REM-5237</v>
      </c>
      <c r="AA59" t="str">
        <v>107058</v>
      </c>
      <c r="AB59" t="str">
        <v>24/8/2026</v>
      </c>
      <c r="AC59" t="str">
        <v>24/8/2026</v>
      </c>
      <c r="AD59">
        <v>114.97</v>
      </c>
      <c r="AE59" t="str">
        <v>-</v>
      </c>
      <c r="AF59">
        <v>0</v>
      </c>
      <c r="AG59">
        <v>0</v>
      </c>
      <c r="AH59">
        <f>AG59-AF59</f>
        <v>0</v>
      </c>
      <c r="AI59">
        <v>0</v>
      </c>
      <c r="AJ59" t="str">
        <v>12-5237</v>
      </c>
      <c r="AK59" t="str">
        <v>24/8/2026</v>
      </c>
      <c r="AL59" t="str">
        <v>-</v>
      </c>
      <c r="AM59" t="str">
        <v>-</v>
      </c>
      <c r="AN59">
        <v>114.97</v>
      </c>
      <c r="AO59">
        <v>4254.95</v>
      </c>
      <c r="AP59">
        <f>AN59*AO59</f>
        <v>489192</v>
      </c>
      <c r="AQ59">
        <f>AP59*0.21</f>
        <v>102730.32</v>
      </c>
      <c r="AR59">
        <f>AP59+AQ59</f>
        <v>591922.32</v>
      </c>
      <c r="AS59">
        <v>1</v>
      </c>
      <c r="AT59">
        <v>0</v>
      </c>
      <c r="AU59">
        <v>0</v>
      </c>
      <c r="AV59">
        <f>AU59*1.21</f>
        <v>0</v>
      </c>
      <c r="AW59">
        <v>0</v>
      </c>
      <c r="AX59">
        <f>AT59*AU59</f>
        <v>0</v>
      </c>
      <c r="AY59">
        <f>AX59-AW59</f>
        <v>0</v>
      </c>
      <c r="AZ59">
        <f>AP59-AX59</f>
        <v>489192</v>
      </c>
      <c r="BA59">
        <f>IF(AP59&gt;0,AZ59/AP59,0)</f>
        <v>1</v>
      </c>
      <c r="BB59" t="str">
        <v>Facturado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f>BF59-BH59</f>
        <v>0</v>
      </c>
      <c r="BJ59">
        <v>0</v>
      </c>
      <c r="BK59" t="str">
        <v>-</v>
      </c>
      <c r="BL59">
        <v>0</v>
      </c>
      <c r="BM59">
        <v>0</v>
      </c>
      <c r="BN59">
        <v>0</v>
      </c>
      <c r="BO59">
        <v>0</v>
      </c>
      <c r="BP59">
        <f>BO59-BN59</f>
        <v>0</v>
      </c>
      <c r="BQ59">
        <f>AP59-BO59</f>
        <v>489192</v>
      </c>
    </row>
    <row r="60">
      <c r="A60" t="str">
        <v>TRP-058</v>
      </c>
      <c r="B60">
        <v>2026</v>
      </c>
      <c r="C60">
        <v>8</v>
      </c>
      <c r="D60" t="str">
        <v>ago-26</v>
      </c>
      <c r="E60" t="str">
        <v>ago-26</v>
      </c>
      <c r="F60" t="str">
        <v>31/8/2026</v>
      </c>
      <c r="G60" t="str">
        <v>Propio</v>
      </c>
      <c r="H60" t="str">
        <v>JUAN y MIGUEL</v>
      </c>
      <c r="I60" t="str">
        <v>Conducción Propia</v>
      </c>
      <c r="J60" t="str">
        <v>10</v>
      </c>
      <c r="K60" t="str">
        <v>1</v>
      </c>
      <c r="L60" t="str">
        <v>ALACAL SRL</v>
      </c>
      <c r="M60" t="str">
        <v>1000</v>
      </c>
      <c r="N60" t="str">
        <v>ALACAL SRL</v>
      </c>
      <c r="O60" t="str">
        <v>209</v>
      </c>
      <c r="P60" t="str">
        <v>Cordoba</v>
      </c>
      <c r="Q60" t="str">
        <v>Rio Cuarto</v>
      </c>
      <c r="R60" t="str">
        <v>-</v>
      </c>
      <c r="S60" t="str">
        <v>ALACAL SRL</v>
      </c>
      <c r="T60" t="str">
        <v>Destino Operativo</v>
      </c>
      <c r="U60" t="str">
        <v>Cereales</v>
      </c>
      <c r="V60" t="str">
        <v>Maíz / Cereal</v>
      </c>
      <c r="W60">
        <v>0</v>
      </c>
      <c r="X60">
        <v>0</v>
      </c>
      <c r="Y60">
        <f>W60+X60</f>
        <v>0</v>
      </c>
      <c r="Z60" t="str">
        <v>REM-5247</v>
      </c>
      <c r="AA60" t="str">
        <v>107059</v>
      </c>
      <c r="AB60" t="str">
        <v>31/8/2026</v>
      </c>
      <c r="AC60" t="str">
        <v>31/8/2026</v>
      </c>
      <c r="AD60">
        <v>79.7</v>
      </c>
      <c r="AE60" t="str">
        <v>-</v>
      </c>
      <c r="AF60">
        <v>0</v>
      </c>
      <c r="AG60">
        <v>0</v>
      </c>
      <c r="AH60">
        <f>AG60-AF60</f>
        <v>0</v>
      </c>
      <c r="AI60">
        <v>0</v>
      </c>
      <c r="AJ60" t="str">
        <v>12-5247</v>
      </c>
      <c r="AK60" t="str">
        <v>31/8/2026</v>
      </c>
      <c r="AL60" t="str">
        <v>-</v>
      </c>
      <c r="AM60" t="str">
        <v>-</v>
      </c>
      <c r="AN60">
        <v>79.7</v>
      </c>
      <c r="AO60">
        <v>4254.81</v>
      </c>
      <c r="AP60">
        <f>AN60*AO60</f>
        <v>339108</v>
      </c>
      <c r="AQ60">
        <f>AP60*0.21</f>
        <v>71212.68</v>
      </c>
      <c r="AR60">
        <f>AP60+AQ60</f>
        <v>410320.68</v>
      </c>
      <c r="AS60">
        <v>1</v>
      </c>
      <c r="AT60">
        <v>0</v>
      </c>
      <c r="AU60">
        <v>0</v>
      </c>
      <c r="AV60">
        <f>AU60*1.21</f>
        <v>0</v>
      </c>
      <c r="AW60">
        <v>0</v>
      </c>
      <c r="AX60">
        <f>AT60*AU60</f>
        <v>0</v>
      </c>
      <c r="AY60">
        <f>AX60-AW60</f>
        <v>0</v>
      </c>
      <c r="AZ60">
        <f>AP60-AX60</f>
        <v>339108</v>
      </c>
      <c r="BA60">
        <f>IF(AP60&gt;0,AZ60/AP60,0)</f>
        <v>1</v>
      </c>
      <c r="BB60" t="str">
        <v>Facturado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f>BF60-BH60</f>
        <v>0</v>
      </c>
      <c r="BJ60">
        <v>0</v>
      </c>
      <c r="BK60" t="str">
        <v>-</v>
      </c>
      <c r="BL60">
        <v>0</v>
      </c>
      <c r="BM60">
        <v>0</v>
      </c>
      <c r="BN60">
        <v>0</v>
      </c>
      <c r="BO60">
        <v>0</v>
      </c>
      <c r="BP60">
        <f>BO60-BN60</f>
        <v>0</v>
      </c>
      <c r="BQ60">
        <f>AP60-BO60</f>
        <v>339108</v>
      </c>
    </row>
    <row r="61">
      <c r="A61" t="str">
        <v>TRP-059</v>
      </c>
      <c r="B61">
        <v>2026</v>
      </c>
      <c r="C61">
        <v>8</v>
      </c>
      <c r="D61" t="str">
        <v>ago-26</v>
      </c>
      <c r="E61" t="str">
        <v>ago-26</v>
      </c>
      <c r="F61" t="str">
        <v>15/08/2026</v>
      </c>
      <c r="G61" t="str">
        <v>Propio</v>
      </c>
      <c r="H61" t="str">
        <v>JUAN y MIGUEL</v>
      </c>
      <c r="I61" t="str">
        <v>Conducción Propia</v>
      </c>
      <c r="J61" t="str">
        <v>10</v>
      </c>
      <c r="K61" t="str">
        <v>1</v>
      </c>
      <c r="L61" t="str">
        <v>ALACAL SRL</v>
      </c>
      <c r="M61" t="str">
        <v>1000</v>
      </c>
      <c r="N61" t="str">
        <v>ALACAL SRL</v>
      </c>
      <c r="O61" t="str">
        <v>209</v>
      </c>
      <c r="P61" t="str">
        <v>Cordoba</v>
      </c>
      <c r="Q61" t="str">
        <v>Rio Cuarto</v>
      </c>
      <c r="R61" t="str">
        <v>-</v>
      </c>
      <c r="S61" t="str">
        <v>ALACAL SRL</v>
      </c>
      <c r="T61" t="str">
        <v>Destino Operativo</v>
      </c>
      <c r="U61" t="str">
        <v>Cereales</v>
      </c>
      <c r="V61" t="str">
        <v>Maíz / Cereal</v>
      </c>
      <c r="W61">
        <v>0</v>
      </c>
      <c r="X61">
        <v>0</v>
      </c>
      <c r="Y61">
        <f>W61+X61</f>
        <v>0</v>
      </c>
      <c r="Z61" t="str">
        <v>REM-01</v>
      </c>
      <c r="AA61" t="str">
        <v>107060</v>
      </c>
      <c r="AB61" t="str">
        <v>15/08/2026</v>
      </c>
      <c r="AC61" t="str">
        <v>16/08/2026</v>
      </c>
      <c r="AD61">
        <v>12.35</v>
      </c>
      <c r="AE61" t="str">
        <v>-</v>
      </c>
      <c r="AF61">
        <v>0</v>
      </c>
      <c r="AG61">
        <v>0</v>
      </c>
      <c r="AH61">
        <f>AG61-AF61</f>
        <v>0</v>
      </c>
      <c r="AI61">
        <v>0</v>
      </c>
      <c r="AJ61" t="str">
        <v>Pendiente</v>
      </c>
      <c r="AK61" t="str">
        <v>Pendiente</v>
      </c>
      <c r="AL61" t="str">
        <v>-</v>
      </c>
      <c r="AM61" t="str">
        <v>-</v>
      </c>
      <c r="AN61">
        <v>12.35</v>
      </c>
      <c r="AO61">
        <v>4253.93</v>
      </c>
      <c r="AP61">
        <f>AN61*AO61</f>
        <v>52536</v>
      </c>
      <c r="AQ61">
        <f>AP61*0.21</f>
        <v>11032.56</v>
      </c>
      <c r="AR61">
        <f>AP61+AQ61</f>
        <v>63568.56</v>
      </c>
      <c r="AS61">
        <v>1</v>
      </c>
      <c r="AT61">
        <v>0</v>
      </c>
      <c r="AU61">
        <v>0</v>
      </c>
      <c r="AV61">
        <f>AU61*1.21</f>
        <v>0</v>
      </c>
      <c r="AW61">
        <v>0</v>
      </c>
      <c r="AX61">
        <f>AT61*AU61</f>
        <v>0</v>
      </c>
      <c r="AY61">
        <f>AX61-AW61</f>
        <v>0</v>
      </c>
      <c r="AZ61">
        <f>AP61-AX61</f>
        <v>52536</v>
      </c>
      <c r="BA61">
        <f>IF(AP61&gt;0,AZ61/AP61,0)</f>
        <v>1</v>
      </c>
      <c r="BB61" t="str">
        <v>Pendiente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f>BF61-BH61</f>
        <v>0</v>
      </c>
      <c r="BJ61">
        <v>0</v>
      </c>
      <c r="BK61" t="str">
        <v>-</v>
      </c>
      <c r="BL61">
        <v>0</v>
      </c>
      <c r="BM61">
        <v>0</v>
      </c>
      <c r="BN61">
        <v>0</v>
      </c>
      <c r="BO61">
        <v>0</v>
      </c>
      <c r="BP61">
        <f>BO61-BN61</f>
        <v>0</v>
      </c>
      <c r="BQ61">
        <f>AP61-BO61</f>
        <v>52536</v>
      </c>
    </row>
    <row r="62">
      <c r="A62" t="str">
        <v>TRP-060</v>
      </c>
      <c r="B62">
        <v>2026</v>
      </c>
      <c r="C62">
        <v>8</v>
      </c>
      <c r="D62" t="str">
        <v>ago-26</v>
      </c>
      <c r="E62" t="str">
        <v>ago-26</v>
      </c>
      <c r="F62" t="str">
        <v>10/8/2026</v>
      </c>
      <c r="G62" t="str">
        <v>Propio</v>
      </c>
      <c r="H62" t="str">
        <v>JUAN y MIGUEL</v>
      </c>
      <c r="I62" t="str">
        <v>Conducción Propia</v>
      </c>
      <c r="J62" t="str">
        <v>10</v>
      </c>
      <c r="K62" t="str">
        <v>1</v>
      </c>
      <c r="L62" t="str">
        <v>RONATA</v>
      </c>
      <c r="M62" t="str">
        <v>1000</v>
      </c>
      <c r="N62" t="str">
        <v>RONATA</v>
      </c>
      <c r="O62" t="str">
        <v>209</v>
      </c>
      <c r="P62" t="str">
        <v>Cordoba</v>
      </c>
      <c r="Q62" t="str">
        <v>Rio Cuarto</v>
      </c>
      <c r="R62" t="str">
        <v>-</v>
      </c>
      <c r="S62" t="str">
        <v>RONATA</v>
      </c>
      <c r="T62" t="str">
        <v>Destino Operativo</v>
      </c>
      <c r="U62" t="str">
        <v>Cereales</v>
      </c>
      <c r="V62" t="str">
        <v>Maíz / Cereal</v>
      </c>
      <c r="W62">
        <v>0</v>
      </c>
      <c r="X62">
        <v>0</v>
      </c>
      <c r="Y62">
        <f>W62+X62</f>
        <v>0</v>
      </c>
      <c r="Z62" t="str">
        <v>REM-0887</v>
      </c>
      <c r="AA62" t="str">
        <v>107061</v>
      </c>
      <c r="AB62" t="str">
        <v>10/8/2026</v>
      </c>
      <c r="AC62" t="str">
        <v>10/8/2026</v>
      </c>
      <c r="AD62">
        <v>66.12</v>
      </c>
      <c r="AE62" t="str">
        <v>-</v>
      </c>
      <c r="AF62">
        <v>0</v>
      </c>
      <c r="AG62">
        <v>0</v>
      </c>
      <c r="AH62">
        <f>AG62-AF62</f>
        <v>0</v>
      </c>
      <c r="AI62">
        <v>0</v>
      </c>
      <c r="AJ62" t="str">
        <v>0012-00887</v>
      </c>
      <c r="AK62" t="str">
        <v>10/8/2026</v>
      </c>
      <c r="AL62" t="str">
        <v>-</v>
      </c>
      <c r="AM62" t="str">
        <v>-</v>
      </c>
      <c r="AN62">
        <v>66.12</v>
      </c>
      <c r="AO62">
        <v>4254.87</v>
      </c>
      <c r="AP62">
        <f>AN62*AO62</f>
        <v>281332.14</v>
      </c>
      <c r="AQ62">
        <f>AP62*0.21</f>
        <v>59079.74</v>
      </c>
      <c r="AR62">
        <f>AP62+AQ62</f>
        <v>340411.88</v>
      </c>
      <c r="AS62">
        <v>1</v>
      </c>
      <c r="AT62">
        <v>0</v>
      </c>
      <c r="AU62">
        <v>0</v>
      </c>
      <c r="AV62">
        <f>AU62*1.21</f>
        <v>0</v>
      </c>
      <c r="AW62">
        <v>0</v>
      </c>
      <c r="AX62">
        <f>AT62*AU62</f>
        <v>0</v>
      </c>
      <c r="AY62">
        <f>AX62-AW62</f>
        <v>0</v>
      </c>
      <c r="AZ62">
        <f>AP62-AX62</f>
        <v>281332.14</v>
      </c>
      <c r="BA62">
        <f>IF(AP62&gt;0,AZ62/AP62,0)</f>
        <v>1</v>
      </c>
      <c r="BB62" t="str">
        <v>Facturado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f>BF62-BH62</f>
        <v>0</v>
      </c>
      <c r="BJ62">
        <v>0</v>
      </c>
      <c r="BK62" t="str">
        <v>-</v>
      </c>
      <c r="BL62">
        <v>0</v>
      </c>
      <c r="BM62">
        <v>0</v>
      </c>
      <c r="BN62">
        <v>0</v>
      </c>
      <c r="BO62">
        <v>0</v>
      </c>
      <c r="BP62">
        <f>BO62-BN62</f>
        <v>0</v>
      </c>
      <c r="BQ62">
        <f>AP62-BO62</f>
        <v>281332.14</v>
      </c>
    </row>
    <row r="63">
      <c r="A63" t="str">
        <v>TRP-061</v>
      </c>
      <c r="B63">
        <v>2026</v>
      </c>
      <c r="C63">
        <v>8</v>
      </c>
      <c r="D63" t="str">
        <v>ago-26</v>
      </c>
      <c r="E63" t="str">
        <v>ago-26</v>
      </c>
      <c r="F63" t="str">
        <v>10/8/2026</v>
      </c>
      <c r="G63" t="str">
        <v>Propio</v>
      </c>
      <c r="H63" t="str">
        <v>JUAN y MIGUEL</v>
      </c>
      <c r="I63" t="str">
        <v>Conducción Propia</v>
      </c>
      <c r="J63" t="str">
        <v>10</v>
      </c>
      <c r="K63" t="str">
        <v>1</v>
      </c>
      <c r="L63" t="str">
        <v>RONATA</v>
      </c>
      <c r="M63" t="str">
        <v>1000</v>
      </c>
      <c r="N63" t="str">
        <v>RONATA</v>
      </c>
      <c r="O63" t="str">
        <v>209</v>
      </c>
      <c r="P63" t="str">
        <v>Cordoba</v>
      </c>
      <c r="Q63" t="str">
        <v>Rio Cuarto</v>
      </c>
      <c r="R63" t="str">
        <v>-</v>
      </c>
      <c r="S63" t="str">
        <v>RONATA</v>
      </c>
      <c r="T63" t="str">
        <v>Destino Operativo</v>
      </c>
      <c r="U63" t="str">
        <v>Cereales</v>
      </c>
      <c r="V63" t="str">
        <v>Maíz / Cereal</v>
      </c>
      <c r="W63">
        <v>0</v>
      </c>
      <c r="X63">
        <v>0</v>
      </c>
      <c r="Y63">
        <f>W63+X63</f>
        <v>0</v>
      </c>
      <c r="Z63" t="str">
        <v>REM-0888</v>
      </c>
      <c r="AA63" t="str">
        <v>107062</v>
      </c>
      <c r="AB63" t="str">
        <v>10/8/2026</v>
      </c>
      <c r="AC63" t="str">
        <v>10/8/2026</v>
      </c>
      <c r="AD63">
        <v>293.56</v>
      </c>
      <c r="AE63" t="str">
        <v>-</v>
      </c>
      <c r="AF63">
        <v>0</v>
      </c>
      <c r="AG63">
        <v>0</v>
      </c>
      <c r="AH63">
        <f>AG63-AF63</f>
        <v>0</v>
      </c>
      <c r="AI63">
        <v>0</v>
      </c>
      <c r="AJ63" t="str">
        <v>0012-00888</v>
      </c>
      <c r="AK63" t="str">
        <v>10/8/2026</v>
      </c>
      <c r="AL63" t="str">
        <v>-</v>
      </c>
      <c r="AM63" t="str">
        <v>-</v>
      </c>
      <c r="AN63">
        <v>293.56</v>
      </c>
      <c r="AO63">
        <v>4254.87</v>
      </c>
      <c r="AP63">
        <f>AN63*AO63</f>
        <v>1249060.22</v>
      </c>
      <c r="AQ63">
        <f>AP63*0.21</f>
        <v>262302.65</v>
      </c>
      <c r="AR63">
        <f>AP63+AQ63</f>
        <v>1511362.87</v>
      </c>
      <c r="AS63">
        <v>1</v>
      </c>
      <c r="AT63">
        <v>0</v>
      </c>
      <c r="AU63">
        <v>0</v>
      </c>
      <c r="AV63">
        <f>AU63*1.21</f>
        <v>0</v>
      </c>
      <c r="AW63">
        <v>0</v>
      </c>
      <c r="AX63">
        <f>AT63*AU63</f>
        <v>0</v>
      </c>
      <c r="AY63">
        <f>AX63-AW63</f>
        <v>0</v>
      </c>
      <c r="AZ63">
        <f>AP63-AX63</f>
        <v>1249060.22</v>
      </c>
      <c r="BA63">
        <f>IF(AP63&gt;0,AZ63/AP63,0)</f>
        <v>1</v>
      </c>
      <c r="BB63" t="str">
        <v>Facturado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f>BF63-BH63</f>
        <v>0</v>
      </c>
      <c r="BJ63">
        <v>0</v>
      </c>
      <c r="BK63" t="str">
        <v>-</v>
      </c>
      <c r="BL63">
        <v>0</v>
      </c>
      <c r="BM63">
        <v>0</v>
      </c>
      <c r="BN63">
        <v>0</v>
      </c>
      <c r="BO63">
        <v>0</v>
      </c>
      <c r="BP63">
        <f>BO63-BN63</f>
        <v>0</v>
      </c>
      <c r="BQ63">
        <f>AP63-BO63</f>
        <v>1249060.22</v>
      </c>
    </row>
    <row r="64">
      <c r="A64" t="str">
        <v>TRP-062</v>
      </c>
      <c r="B64">
        <v>2026</v>
      </c>
      <c r="C64">
        <v>8</v>
      </c>
      <c r="D64" t="str">
        <v>ago-26</v>
      </c>
      <c r="E64" t="str">
        <v>ago-26</v>
      </c>
      <c r="F64" t="str">
        <v>14/8/2026</v>
      </c>
      <c r="G64" t="str">
        <v>Propio</v>
      </c>
      <c r="H64" t="str">
        <v>JUAN y MIGUEL</v>
      </c>
      <c r="I64" t="str">
        <v>Conducción Propia</v>
      </c>
      <c r="J64" t="str">
        <v>10</v>
      </c>
      <c r="K64" t="str">
        <v>1</v>
      </c>
      <c r="L64" t="str">
        <v>RONATA</v>
      </c>
      <c r="M64" t="str">
        <v>1000</v>
      </c>
      <c r="N64" t="str">
        <v>RONATA</v>
      </c>
      <c r="O64" t="str">
        <v>209</v>
      </c>
      <c r="P64" t="str">
        <v>Cordoba</v>
      </c>
      <c r="Q64" t="str">
        <v>Rio Cuarto</v>
      </c>
      <c r="R64" t="str">
        <v>-</v>
      </c>
      <c r="S64" t="str">
        <v>RONATA</v>
      </c>
      <c r="T64" t="str">
        <v>Destino Operativo</v>
      </c>
      <c r="U64" t="str">
        <v>Cereales</v>
      </c>
      <c r="V64" t="str">
        <v>Maíz / Cereal</v>
      </c>
      <c r="W64">
        <v>0</v>
      </c>
      <c r="X64">
        <v>0</v>
      </c>
      <c r="Y64">
        <f>W64+X64</f>
        <v>0</v>
      </c>
      <c r="Z64" t="str">
        <v>REM-0889</v>
      </c>
      <c r="AA64" t="str">
        <v>107063</v>
      </c>
      <c r="AB64" t="str">
        <v>14/8/2026</v>
      </c>
      <c r="AC64" t="str">
        <v>14/8/2026</v>
      </c>
      <c r="AD64">
        <v>35.93</v>
      </c>
      <c r="AE64" t="str">
        <v>-</v>
      </c>
      <c r="AF64">
        <v>0</v>
      </c>
      <c r="AG64">
        <v>0</v>
      </c>
      <c r="AH64">
        <f>AG64-AF64</f>
        <v>0</v>
      </c>
      <c r="AI64">
        <v>0</v>
      </c>
      <c r="AJ64" t="str">
        <v>0012-00889</v>
      </c>
      <c r="AK64" t="str">
        <v>14/8/2026</v>
      </c>
      <c r="AL64" t="str">
        <v>-</v>
      </c>
      <c r="AM64" t="str">
        <v>-</v>
      </c>
      <c r="AN64">
        <v>35.93</v>
      </c>
      <c r="AO64">
        <v>4254.38</v>
      </c>
      <c r="AP64">
        <f>AN64*AO64</f>
        <v>152859.82</v>
      </c>
      <c r="AQ64">
        <f>AP64*0.21</f>
        <v>32100.56</v>
      </c>
      <c r="AR64">
        <f>AP64+AQ64</f>
        <v>184960.38</v>
      </c>
      <c r="AS64">
        <v>1</v>
      </c>
      <c r="AT64">
        <v>0</v>
      </c>
      <c r="AU64">
        <v>0</v>
      </c>
      <c r="AV64">
        <f>AU64*1.21</f>
        <v>0</v>
      </c>
      <c r="AW64">
        <v>0</v>
      </c>
      <c r="AX64">
        <f>AT64*AU64</f>
        <v>0</v>
      </c>
      <c r="AY64">
        <f>AX64-AW64</f>
        <v>0</v>
      </c>
      <c r="AZ64">
        <f>AP64-AX64</f>
        <v>152859.82</v>
      </c>
      <c r="BA64">
        <f>IF(AP64&gt;0,AZ64/AP64,0)</f>
        <v>1</v>
      </c>
      <c r="BB64" t="str">
        <v>Facturado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f>BF64-BH64</f>
        <v>0</v>
      </c>
      <c r="BJ64">
        <v>0</v>
      </c>
      <c r="BK64" t="str">
        <v>-</v>
      </c>
      <c r="BL64">
        <v>0</v>
      </c>
      <c r="BM64">
        <v>0</v>
      </c>
      <c r="BN64">
        <v>0</v>
      </c>
      <c r="BO64">
        <v>0</v>
      </c>
      <c r="BP64">
        <f>BO64-BN64</f>
        <v>0</v>
      </c>
      <c r="BQ64">
        <f>AP64-BO64</f>
        <v>152859.82</v>
      </c>
    </row>
    <row r="65">
      <c r="A65" t="str">
        <v>TRP-063</v>
      </c>
      <c r="B65">
        <v>2026</v>
      </c>
      <c r="C65">
        <v>8</v>
      </c>
      <c r="D65" t="str">
        <v>ago-26</v>
      </c>
      <c r="E65" t="str">
        <v>ago-26</v>
      </c>
      <c r="F65" t="str">
        <v>18/8/2026</v>
      </c>
      <c r="G65" t="str">
        <v>Propio</v>
      </c>
      <c r="H65" t="str">
        <v>JUAN y MIGUEL</v>
      </c>
      <c r="I65" t="str">
        <v>Conducción Propia</v>
      </c>
      <c r="J65" t="str">
        <v>10</v>
      </c>
      <c r="K65" t="str">
        <v>1</v>
      </c>
      <c r="L65" t="str">
        <v>RONATA</v>
      </c>
      <c r="M65" t="str">
        <v>1000</v>
      </c>
      <c r="N65" t="str">
        <v>RONATA</v>
      </c>
      <c r="O65" t="str">
        <v>209</v>
      </c>
      <c r="P65" t="str">
        <v>Cordoba</v>
      </c>
      <c r="Q65" t="str">
        <v>Rio Cuarto</v>
      </c>
      <c r="R65" t="str">
        <v>-</v>
      </c>
      <c r="S65" t="str">
        <v>RONATA</v>
      </c>
      <c r="T65" t="str">
        <v>Destino Operativo</v>
      </c>
      <c r="U65" t="str">
        <v>Cereales</v>
      </c>
      <c r="V65" t="str">
        <v>Maíz / Cereal</v>
      </c>
      <c r="W65">
        <v>0</v>
      </c>
      <c r="X65">
        <v>0</v>
      </c>
      <c r="Y65">
        <f>W65+X65</f>
        <v>0</v>
      </c>
      <c r="Z65" t="str">
        <v>REM-0890</v>
      </c>
      <c r="AA65" t="str">
        <v>107064</v>
      </c>
      <c r="AB65" t="str">
        <v>18/8/2026</v>
      </c>
      <c r="AC65" t="str">
        <v>18/8/2026</v>
      </c>
      <c r="AD65">
        <v>493.98</v>
      </c>
      <c r="AE65" t="str">
        <v>-</v>
      </c>
      <c r="AF65">
        <v>0</v>
      </c>
      <c r="AG65">
        <v>0</v>
      </c>
      <c r="AH65">
        <f>AG65-AF65</f>
        <v>0</v>
      </c>
      <c r="AI65">
        <v>0</v>
      </c>
      <c r="AJ65" t="str">
        <v>0012-00890</v>
      </c>
      <c r="AK65" t="str">
        <v>18/8/2026</v>
      </c>
      <c r="AL65" t="str">
        <v>-</v>
      </c>
      <c r="AM65" t="str">
        <v>-</v>
      </c>
      <c r="AN65">
        <v>493.98</v>
      </c>
      <c r="AO65">
        <v>4254.87</v>
      </c>
      <c r="AP65">
        <f>AN65*AO65</f>
        <v>2101821.67</v>
      </c>
      <c r="AQ65">
        <f>AP65*0.21</f>
        <v>441382.55</v>
      </c>
      <c r="AR65">
        <f>AP65+AQ65</f>
        <v>2543204.22</v>
      </c>
      <c r="AS65">
        <v>1</v>
      </c>
      <c r="AT65">
        <v>0</v>
      </c>
      <c r="AU65">
        <v>0</v>
      </c>
      <c r="AV65">
        <f>AU65*1.21</f>
        <v>0</v>
      </c>
      <c r="AW65">
        <v>0</v>
      </c>
      <c r="AX65">
        <f>AT65*AU65</f>
        <v>0</v>
      </c>
      <c r="AY65">
        <f>AX65-AW65</f>
        <v>0</v>
      </c>
      <c r="AZ65">
        <f>AP65-AX65</f>
        <v>2101821.67</v>
      </c>
      <c r="BA65">
        <f>IF(AP65&gt;0,AZ65/AP65,0)</f>
        <v>1</v>
      </c>
      <c r="BB65" t="str">
        <v>Facturado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f>BF65-BH65</f>
        <v>0</v>
      </c>
      <c r="BJ65">
        <v>0</v>
      </c>
      <c r="BK65" t="str">
        <v>-</v>
      </c>
      <c r="BL65">
        <v>0</v>
      </c>
      <c r="BM65">
        <v>0</v>
      </c>
      <c r="BN65">
        <v>0</v>
      </c>
      <c r="BO65">
        <v>0</v>
      </c>
      <c r="BP65">
        <f>BO65-BN65</f>
        <v>0</v>
      </c>
      <c r="BQ65">
        <f>AP65-BO65</f>
        <v>2101821.67</v>
      </c>
    </row>
    <row r="66">
      <c r="A66" t="str">
        <v>TRP-064</v>
      </c>
      <c r="B66">
        <v>2026</v>
      </c>
      <c r="C66">
        <v>8</v>
      </c>
      <c r="D66" t="str">
        <v>ago-26</v>
      </c>
      <c r="E66" t="str">
        <v>ago-26</v>
      </c>
      <c r="F66" t="str">
        <v>18/8/2026</v>
      </c>
      <c r="G66" t="str">
        <v>Propio</v>
      </c>
      <c r="H66" t="str">
        <v>JUAN y MIGUEL</v>
      </c>
      <c r="I66" t="str">
        <v>Conducción Propia</v>
      </c>
      <c r="J66" t="str">
        <v>10</v>
      </c>
      <c r="K66" t="str">
        <v>1</v>
      </c>
      <c r="L66" t="str">
        <v>RONATA</v>
      </c>
      <c r="M66" t="str">
        <v>1000</v>
      </c>
      <c r="N66" t="str">
        <v>RONATA</v>
      </c>
      <c r="O66" t="str">
        <v>209</v>
      </c>
      <c r="P66" t="str">
        <v>Cordoba</v>
      </c>
      <c r="Q66" t="str">
        <v>Rio Cuarto</v>
      </c>
      <c r="R66" t="str">
        <v>-</v>
      </c>
      <c r="S66" t="str">
        <v>RONATA</v>
      </c>
      <c r="T66" t="str">
        <v>Destino Operativo</v>
      </c>
      <c r="U66" t="str">
        <v>Cereales</v>
      </c>
      <c r="V66" t="str">
        <v>Maíz / Cereal</v>
      </c>
      <c r="W66">
        <v>0</v>
      </c>
      <c r="X66">
        <v>0</v>
      </c>
      <c r="Y66">
        <f>W66+X66</f>
        <v>0</v>
      </c>
      <c r="Z66" t="str">
        <v>REM-0891</v>
      </c>
      <c r="AA66" t="str">
        <v>107065</v>
      </c>
      <c r="AB66" t="str">
        <v>18/8/2026</v>
      </c>
      <c r="AC66" t="str">
        <v>18/8/2026</v>
      </c>
      <c r="AD66">
        <v>394.6</v>
      </c>
      <c r="AE66" t="str">
        <v>-</v>
      </c>
      <c r="AF66">
        <v>0</v>
      </c>
      <c r="AG66">
        <v>0</v>
      </c>
      <c r="AH66">
        <f>AG66-AF66</f>
        <v>0</v>
      </c>
      <c r="AI66">
        <v>0</v>
      </c>
      <c r="AJ66" t="str">
        <v>0012-00891</v>
      </c>
      <c r="AK66" t="str">
        <v>18/8/2026</v>
      </c>
      <c r="AL66" t="str">
        <v>-</v>
      </c>
      <c r="AM66" t="str">
        <v>-</v>
      </c>
      <c r="AN66">
        <v>394.6</v>
      </c>
      <c r="AO66">
        <v>4254.87</v>
      </c>
      <c r="AP66">
        <f>AN66*AO66</f>
        <v>1678972.49</v>
      </c>
      <c r="AQ66">
        <f>AP66*0.21</f>
        <v>352584.22</v>
      </c>
      <c r="AR66">
        <f>AP66+AQ66</f>
        <v>2031556.71</v>
      </c>
      <c r="AS66">
        <v>1</v>
      </c>
      <c r="AT66">
        <v>0</v>
      </c>
      <c r="AU66">
        <v>0</v>
      </c>
      <c r="AV66">
        <f>AU66*1.21</f>
        <v>0</v>
      </c>
      <c r="AW66">
        <v>0</v>
      </c>
      <c r="AX66">
        <f>AT66*AU66</f>
        <v>0</v>
      </c>
      <c r="AY66">
        <f>AX66-AW66</f>
        <v>0</v>
      </c>
      <c r="AZ66">
        <f>AP66-AX66</f>
        <v>1678972.49</v>
      </c>
      <c r="BA66">
        <f>IF(AP66&gt;0,AZ66/AP66,0)</f>
        <v>1</v>
      </c>
      <c r="BB66" t="str">
        <v>Facturado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f>BF66-BH66</f>
        <v>0</v>
      </c>
      <c r="BJ66">
        <v>0</v>
      </c>
      <c r="BK66" t="str">
        <v>-</v>
      </c>
      <c r="BL66">
        <v>0</v>
      </c>
      <c r="BM66">
        <v>0</v>
      </c>
      <c r="BN66">
        <v>0</v>
      </c>
      <c r="BO66">
        <v>0</v>
      </c>
      <c r="BP66">
        <f>BO66-BN66</f>
        <v>0</v>
      </c>
      <c r="BQ66">
        <f>AP66-BO66</f>
        <v>1678972.49</v>
      </c>
    </row>
    <row r="67">
      <c r="A67" t="str">
        <v>TRP-065</v>
      </c>
      <c r="B67">
        <v>2026</v>
      </c>
      <c r="C67">
        <v>8</v>
      </c>
      <c r="D67" t="str">
        <v>ago-26</v>
      </c>
      <c r="E67" t="str">
        <v>ago-26</v>
      </c>
      <c r="F67" t="str">
        <v>24/8/2026</v>
      </c>
      <c r="G67" t="str">
        <v>Propio</v>
      </c>
      <c r="H67" t="str">
        <v>JUAN y MIGUEL</v>
      </c>
      <c r="I67" t="str">
        <v>Conducción Propia</v>
      </c>
      <c r="J67" t="str">
        <v>10</v>
      </c>
      <c r="K67" t="str">
        <v>1</v>
      </c>
      <c r="L67" t="str">
        <v>RONATA</v>
      </c>
      <c r="M67" t="str">
        <v>1000</v>
      </c>
      <c r="N67" t="str">
        <v>RONATA</v>
      </c>
      <c r="O67" t="str">
        <v>209</v>
      </c>
      <c r="P67" t="str">
        <v>Cordoba</v>
      </c>
      <c r="Q67" t="str">
        <v>Rio Cuarto</v>
      </c>
      <c r="R67" t="str">
        <v>-</v>
      </c>
      <c r="S67" t="str">
        <v>RONATA</v>
      </c>
      <c r="T67" t="str">
        <v>Destino Operativo</v>
      </c>
      <c r="U67" t="str">
        <v>Cereales</v>
      </c>
      <c r="V67" t="str">
        <v>Maíz / Cereal</v>
      </c>
      <c r="W67">
        <v>0</v>
      </c>
      <c r="X67">
        <v>0</v>
      </c>
      <c r="Y67">
        <f>W67+X67</f>
        <v>0</v>
      </c>
      <c r="Z67" t="str">
        <v>REM-0892</v>
      </c>
      <c r="AA67" t="str">
        <v>107066</v>
      </c>
      <c r="AB67" t="str">
        <v>24/8/2026</v>
      </c>
      <c r="AC67" t="str">
        <v>24/8/2026</v>
      </c>
      <c r="AD67">
        <v>86.41</v>
      </c>
      <c r="AE67" t="str">
        <v>-</v>
      </c>
      <c r="AF67">
        <v>0</v>
      </c>
      <c r="AG67">
        <v>0</v>
      </c>
      <c r="AH67">
        <f>AG67-AF67</f>
        <v>0</v>
      </c>
      <c r="AI67">
        <v>0</v>
      </c>
      <c r="AJ67" t="str">
        <v>0012-00892</v>
      </c>
      <c r="AK67" t="str">
        <v>24/8/2026</v>
      </c>
      <c r="AL67" t="str">
        <v>-</v>
      </c>
      <c r="AM67" t="str">
        <v>-</v>
      </c>
      <c r="AN67">
        <v>86.41</v>
      </c>
      <c r="AO67">
        <v>4254.72</v>
      </c>
      <c r="AP67">
        <f>AN67*AO67</f>
        <v>367650.54</v>
      </c>
      <c r="AQ67">
        <f>AP67*0.21</f>
        <v>77206.61</v>
      </c>
      <c r="AR67">
        <f>AP67+AQ67</f>
        <v>444857.15</v>
      </c>
      <c r="AS67">
        <v>1</v>
      </c>
      <c r="AT67">
        <v>0</v>
      </c>
      <c r="AU67">
        <v>0</v>
      </c>
      <c r="AV67">
        <f>AU67*1.21</f>
        <v>0</v>
      </c>
      <c r="AW67">
        <v>0</v>
      </c>
      <c r="AX67">
        <f>AT67*AU67</f>
        <v>0</v>
      </c>
      <c r="AY67">
        <f>AX67-AW67</f>
        <v>0</v>
      </c>
      <c r="AZ67">
        <f>AP67-AX67</f>
        <v>367650.54</v>
      </c>
      <c r="BA67">
        <f>IF(AP67&gt;0,AZ67/AP67,0)</f>
        <v>1</v>
      </c>
      <c r="BB67" t="str">
        <v>Facturado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f>BF67-BH67</f>
        <v>0</v>
      </c>
      <c r="BJ67">
        <v>0</v>
      </c>
      <c r="BK67" t="str">
        <v>-</v>
      </c>
      <c r="BL67">
        <v>0</v>
      </c>
      <c r="BM67">
        <v>0</v>
      </c>
      <c r="BN67">
        <v>0</v>
      </c>
      <c r="BO67">
        <v>0</v>
      </c>
      <c r="BP67">
        <f>BO67-BN67</f>
        <v>0</v>
      </c>
      <c r="BQ67">
        <f>AP67-BO67</f>
        <v>367650.54</v>
      </c>
    </row>
    <row r="68">
      <c r="A68" t="str">
        <v>TRP-066</v>
      </c>
      <c r="B68">
        <v>2026</v>
      </c>
      <c r="C68">
        <v>8</v>
      </c>
      <c r="D68" t="str">
        <v>ago-26</v>
      </c>
      <c r="E68" t="str">
        <v>ago-26</v>
      </c>
      <c r="F68" t="str">
        <v>24/8/2026</v>
      </c>
      <c r="G68" t="str">
        <v>Propio</v>
      </c>
      <c r="H68" t="str">
        <v>JUAN y MIGUEL</v>
      </c>
      <c r="I68" t="str">
        <v>Conducción Propia</v>
      </c>
      <c r="J68" t="str">
        <v>10</v>
      </c>
      <c r="K68" t="str">
        <v>1</v>
      </c>
      <c r="L68" t="str">
        <v>RONATA</v>
      </c>
      <c r="M68" t="str">
        <v>1000</v>
      </c>
      <c r="N68" t="str">
        <v>RONATA</v>
      </c>
      <c r="O68" t="str">
        <v>209</v>
      </c>
      <c r="P68" t="str">
        <v>Cordoba</v>
      </c>
      <c r="Q68" t="str">
        <v>Rio Cuarto</v>
      </c>
      <c r="R68" t="str">
        <v>-</v>
      </c>
      <c r="S68" t="str">
        <v>RONATA</v>
      </c>
      <c r="T68" t="str">
        <v>Destino Operativo</v>
      </c>
      <c r="U68" t="str">
        <v>Cereales</v>
      </c>
      <c r="V68" t="str">
        <v>Maíz / Cereal</v>
      </c>
      <c r="W68">
        <v>0</v>
      </c>
      <c r="X68">
        <v>0</v>
      </c>
      <c r="Y68">
        <f>W68+X68</f>
        <v>0</v>
      </c>
      <c r="Z68" t="str">
        <v>REM-0893</v>
      </c>
      <c r="AA68" t="str">
        <v>107067</v>
      </c>
      <c r="AB68" t="str">
        <v>24/8/2026</v>
      </c>
      <c r="AC68" t="str">
        <v>24/8/2026</v>
      </c>
      <c r="AD68">
        <v>176.78</v>
      </c>
      <c r="AE68" t="str">
        <v>-</v>
      </c>
      <c r="AF68">
        <v>0</v>
      </c>
      <c r="AG68">
        <v>0</v>
      </c>
      <c r="AH68">
        <f>AG68-AF68</f>
        <v>0</v>
      </c>
      <c r="AI68">
        <v>0</v>
      </c>
      <c r="AJ68" t="str">
        <v>0012-00893</v>
      </c>
      <c r="AK68" t="str">
        <v>24/8/2026</v>
      </c>
      <c r="AL68" t="str">
        <v>-</v>
      </c>
      <c r="AM68" t="str">
        <v>-</v>
      </c>
      <c r="AN68">
        <v>176.78</v>
      </c>
      <c r="AO68">
        <v>4254.81</v>
      </c>
      <c r="AP68">
        <f>AN68*AO68</f>
        <v>752165.38</v>
      </c>
      <c r="AQ68">
        <f>AP68*0.21</f>
        <v>157954.73</v>
      </c>
      <c r="AR68">
        <f>AP68+AQ68</f>
        <v>910120.11</v>
      </c>
      <c r="AS68">
        <v>1</v>
      </c>
      <c r="AT68">
        <v>0</v>
      </c>
      <c r="AU68">
        <v>0</v>
      </c>
      <c r="AV68">
        <f>AU68*1.21</f>
        <v>0</v>
      </c>
      <c r="AW68">
        <v>0</v>
      </c>
      <c r="AX68">
        <f>AT68*AU68</f>
        <v>0</v>
      </c>
      <c r="AY68">
        <f>AX68-AW68</f>
        <v>0</v>
      </c>
      <c r="AZ68">
        <f>AP68-AX68</f>
        <v>752165.38</v>
      </c>
      <c r="BA68">
        <f>IF(AP68&gt;0,AZ68/AP68,0)</f>
        <v>1</v>
      </c>
      <c r="BB68" t="str">
        <v>Facturado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f>BF68-BH68</f>
        <v>0</v>
      </c>
      <c r="BJ68">
        <v>0</v>
      </c>
      <c r="BK68" t="str">
        <v>-</v>
      </c>
      <c r="BL68">
        <v>0</v>
      </c>
      <c r="BM68">
        <v>0</v>
      </c>
      <c r="BN68">
        <v>0</v>
      </c>
      <c r="BO68">
        <v>0</v>
      </c>
      <c r="BP68">
        <f>BO68-BN68</f>
        <v>0</v>
      </c>
      <c r="BQ68">
        <f>AP68-BO68</f>
        <v>752165.38</v>
      </c>
    </row>
    <row r="69">
      <c r="A69" t="str">
        <v>TRP-067</v>
      </c>
      <c r="B69">
        <v>2026</v>
      </c>
      <c r="C69">
        <v>8</v>
      </c>
      <c r="D69" t="str">
        <v>ago-26</v>
      </c>
      <c r="E69" t="str">
        <v>ago-26</v>
      </c>
      <c r="F69" t="str">
        <v>24/8/2026</v>
      </c>
      <c r="G69" t="str">
        <v>Propio</v>
      </c>
      <c r="H69" t="str">
        <v>JUAN y MIGUEL</v>
      </c>
      <c r="I69" t="str">
        <v>Conducción Propia</v>
      </c>
      <c r="J69" t="str">
        <v>10</v>
      </c>
      <c r="K69" t="str">
        <v>1</v>
      </c>
      <c r="L69" t="str">
        <v>RONATA</v>
      </c>
      <c r="M69" t="str">
        <v>1000</v>
      </c>
      <c r="N69" t="str">
        <v>RONATA</v>
      </c>
      <c r="O69" t="str">
        <v>209</v>
      </c>
      <c r="P69" t="str">
        <v>Cordoba</v>
      </c>
      <c r="Q69" t="str">
        <v>Rio Cuarto</v>
      </c>
      <c r="R69" t="str">
        <v>-</v>
      </c>
      <c r="S69" t="str">
        <v>RONATA</v>
      </c>
      <c r="T69" t="str">
        <v>Destino Operativo</v>
      </c>
      <c r="U69" t="str">
        <v>Cereales</v>
      </c>
      <c r="V69" t="str">
        <v>Maíz / Cereal</v>
      </c>
      <c r="W69">
        <v>0</v>
      </c>
      <c r="X69">
        <v>0</v>
      </c>
      <c r="Y69">
        <f>W69+X69</f>
        <v>0</v>
      </c>
      <c r="Z69" t="str">
        <v>REM-0894</v>
      </c>
      <c r="AA69" t="str">
        <v>107068</v>
      </c>
      <c r="AB69" t="str">
        <v>24/8/2026</v>
      </c>
      <c r="AC69" t="str">
        <v>24/8/2026</v>
      </c>
      <c r="AD69">
        <v>360.14</v>
      </c>
      <c r="AE69" t="str">
        <v>-</v>
      </c>
      <c r="AF69">
        <v>0</v>
      </c>
      <c r="AG69">
        <v>0</v>
      </c>
      <c r="AH69">
        <f>AG69-AF69</f>
        <v>0</v>
      </c>
      <c r="AI69">
        <v>0</v>
      </c>
      <c r="AJ69" t="str">
        <v>0012-00894</v>
      </c>
      <c r="AK69" t="str">
        <v>24/8/2026</v>
      </c>
      <c r="AL69" t="str">
        <v>-</v>
      </c>
      <c r="AM69" t="str">
        <v>-</v>
      </c>
      <c r="AN69">
        <v>360.14</v>
      </c>
      <c r="AO69">
        <v>4254.87</v>
      </c>
      <c r="AP69">
        <f>AN69*AO69</f>
        <v>1532349.6</v>
      </c>
      <c r="AQ69">
        <f>AP69*0.21</f>
        <v>321793.42</v>
      </c>
      <c r="AR69">
        <f>AP69+AQ69</f>
        <v>1854143.02</v>
      </c>
      <c r="AS69">
        <v>1</v>
      </c>
      <c r="AT69">
        <v>0</v>
      </c>
      <c r="AU69">
        <v>0</v>
      </c>
      <c r="AV69">
        <f>AU69*1.21</f>
        <v>0</v>
      </c>
      <c r="AW69">
        <v>0</v>
      </c>
      <c r="AX69">
        <f>AT69*AU69</f>
        <v>0</v>
      </c>
      <c r="AY69">
        <f>AX69-AW69</f>
        <v>0</v>
      </c>
      <c r="AZ69">
        <f>AP69-AX69</f>
        <v>1532349.6</v>
      </c>
      <c r="BA69">
        <f>IF(AP69&gt;0,AZ69/AP69,0)</f>
        <v>1</v>
      </c>
      <c r="BB69" t="str">
        <v>Facturado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f>BF69-BH69</f>
        <v>0</v>
      </c>
      <c r="BJ69">
        <v>0</v>
      </c>
      <c r="BK69" t="str">
        <v>-</v>
      </c>
      <c r="BL69">
        <v>0</v>
      </c>
      <c r="BM69">
        <v>0</v>
      </c>
      <c r="BN69">
        <v>0</v>
      </c>
      <c r="BO69">
        <v>0</v>
      </c>
      <c r="BP69">
        <f>BO69-BN69</f>
        <v>0</v>
      </c>
      <c r="BQ69">
        <f>AP69-BO69</f>
        <v>1532349.6</v>
      </c>
    </row>
    <row r="70">
      <c r="A70" t="str">
        <v>TRP-068</v>
      </c>
      <c r="B70">
        <v>2026</v>
      </c>
      <c r="C70">
        <v>8</v>
      </c>
      <c r="D70" t="str">
        <v>ago-26</v>
      </c>
      <c r="E70" t="str">
        <v>ago-26</v>
      </c>
      <c r="F70" t="str">
        <v>24/8/2026</v>
      </c>
      <c r="G70" t="str">
        <v>Propio</v>
      </c>
      <c r="H70" t="str">
        <v>JUAN y MIGUEL</v>
      </c>
      <c r="I70" t="str">
        <v>Conducción Propia</v>
      </c>
      <c r="J70" t="str">
        <v>10</v>
      </c>
      <c r="K70" t="str">
        <v>1</v>
      </c>
      <c r="L70" t="str">
        <v>RONATA</v>
      </c>
      <c r="M70" t="str">
        <v>1000</v>
      </c>
      <c r="N70" t="str">
        <v>RONATA</v>
      </c>
      <c r="O70" t="str">
        <v>209</v>
      </c>
      <c r="P70" t="str">
        <v>Cordoba</v>
      </c>
      <c r="Q70" t="str">
        <v>Rio Cuarto</v>
      </c>
      <c r="R70" t="str">
        <v>-</v>
      </c>
      <c r="S70" t="str">
        <v>RONATA</v>
      </c>
      <c r="T70" t="str">
        <v>Destino Operativo</v>
      </c>
      <c r="U70" t="str">
        <v>Cereales</v>
      </c>
      <c r="V70" t="str">
        <v>Maíz / Cereal</v>
      </c>
      <c r="W70">
        <v>0</v>
      </c>
      <c r="X70">
        <v>0</v>
      </c>
      <c r="Y70">
        <f>W70+X70</f>
        <v>0</v>
      </c>
      <c r="Z70" t="str">
        <v>REM-0895</v>
      </c>
      <c r="AA70" t="str">
        <v>107069</v>
      </c>
      <c r="AB70" t="str">
        <v>24/8/2026</v>
      </c>
      <c r="AC70" t="str">
        <v>24/8/2026</v>
      </c>
      <c r="AD70">
        <v>291.02</v>
      </c>
      <c r="AE70" t="str">
        <v>-</v>
      </c>
      <c r="AF70">
        <v>0</v>
      </c>
      <c r="AG70">
        <v>0</v>
      </c>
      <c r="AH70">
        <f>AG70-AF70</f>
        <v>0</v>
      </c>
      <c r="AI70">
        <v>0</v>
      </c>
      <c r="AJ70" t="str">
        <v>0012-00895</v>
      </c>
      <c r="AK70" t="str">
        <v>24/8/2026</v>
      </c>
      <c r="AL70" t="str">
        <v>-</v>
      </c>
      <c r="AM70" t="str">
        <v>-</v>
      </c>
      <c r="AN70">
        <v>291.02</v>
      </c>
      <c r="AO70">
        <v>4254.87</v>
      </c>
      <c r="AP70">
        <f>AN70*AO70</f>
        <v>1238252.85</v>
      </c>
      <c r="AQ70">
        <f>AP70*0.21</f>
        <v>260033.1</v>
      </c>
      <c r="AR70">
        <f>AP70+AQ70</f>
        <v>1498285.95</v>
      </c>
      <c r="AS70">
        <v>1</v>
      </c>
      <c r="AT70">
        <v>0</v>
      </c>
      <c r="AU70">
        <v>0</v>
      </c>
      <c r="AV70">
        <f>AU70*1.21</f>
        <v>0</v>
      </c>
      <c r="AW70">
        <v>0</v>
      </c>
      <c r="AX70">
        <f>AT70*AU70</f>
        <v>0</v>
      </c>
      <c r="AY70">
        <f>AX70-AW70</f>
        <v>0</v>
      </c>
      <c r="AZ70">
        <f>AP70-AX70</f>
        <v>1238252.85</v>
      </c>
      <c r="BA70">
        <f>IF(AP70&gt;0,AZ70/AP70,0)</f>
        <v>1</v>
      </c>
      <c r="BB70" t="str">
        <v>Facturado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f>BF70-BH70</f>
        <v>0</v>
      </c>
      <c r="BJ70">
        <v>0</v>
      </c>
      <c r="BK70" t="str">
        <v>-</v>
      </c>
      <c r="BL70">
        <v>0</v>
      </c>
      <c r="BM70">
        <v>0</v>
      </c>
      <c r="BN70">
        <v>0</v>
      </c>
      <c r="BO70">
        <v>0</v>
      </c>
      <c r="BP70">
        <f>BO70-BN70</f>
        <v>0</v>
      </c>
      <c r="BQ70">
        <f>AP70-BO70</f>
        <v>1238252.85</v>
      </c>
    </row>
    <row r="71">
      <c r="A71" t="str">
        <v>TRP-069</v>
      </c>
      <c r="B71">
        <v>2026</v>
      </c>
      <c r="C71">
        <v>8</v>
      </c>
      <c r="D71" t="str">
        <v>ago-26</v>
      </c>
      <c r="E71" t="str">
        <v>ago-26</v>
      </c>
      <c r="F71" t="str">
        <v>31/8/2026</v>
      </c>
      <c r="G71" t="str">
        <v>Propio</v>
      </c>
      <c r="H71" t="str">
        <v>JUAN y MIGUEL</v>
      </c>
      <c r="I71" t="str">
        <v>Conducción Propia</v>
      </c>
      <c r="J71" t="str">
        <v>10</v>
      </c>
      <c r="K71" t="str">
        <v>1</v>
      </c>
      <c r="L71" t="str">
        <v>RONATA</v>
      </c>
      <c r="M71" t="str">
        <v>1000</v>
      </c>
      <c r="N71" t="str">
        <v>RONATA</v>
      </c>
      <c r="O71" t="str">
        <v>209</v>
      </c>
      <c r="P71" t="str">
        <v>Cordoba</v>
      </c>
      <c r="Q71" t="str">
        <v>Rio Cuarto</v>
      </c>
      <c r="R71" t="str">
        <v>-</v>
      </c>
      <c r="S71" t="str">
        <v>RONATA</v>
      </c>
      <c r="T71" t="str">
        <v>Destino Operativo</v>
      </c>
      <c r="U71" t="str">
        <v>Cereales</v>
      </c>
      <c r="V71" t="str">
        <v>Maíz / Cereal</v>
      </c>
      <c r="W71">
        <v>0</v>
      </c>
      <c r="X71">
        <v>0</v>
      </c>
      <c r="Y71">
        <f>W71+X71</f>
        <v>0</v>
      </c>
      <c r="Z71" t="str">
        <v>REM-0896</v>
      </c>
      <c r="AA71" t="str">
        <v>107070</v>
      </c>
      <c r="AB71" t="str">
        <v>31/8/2026</v>
      </c>
      <c r="AC71" t="str">
        <v>31/8/2026</v>
      </c>
      <c r="AD71">
        <v>495.22</v>
      </c>
      <c r="AE71" t="str">
        <v>-</v>
      </c>
      <c r="AF71">
        <v>0</v>
      </c>
      <c r="AG71">
        <v>0</v>
      </c>
      <c r="AH71">
        <f>AG71-AF71</f>
        <v>0</v>
      </c>
      <c r="AI71">
        <v>0</v>
      </c>
      <c r="AJ71" t="str">
        <v>0012-00896</v>
      </c>
      <c r="AK71" t="str">
        <v>31/8/2026</v>
      </c>
      <c r="AL71" t="str">
        <v>-</v>
      </c>
      <c r="AM71" t="str">
        <v>-</v>
      </c>
      <c r="AN71">
        <v>495.22</v>
      </c>
      <c r="AO71">
        <v>4254.87</v>
      </c>
      <c r="AP71">
        <f>AN71*AO71</f>
        <v>2107097.71</v>
      </c>
      <c r="AQ71">
        <f>AP71*0.21</f>
        <v>442490.52</v>
      </c>
      <c r="AR71">
        <f>AP71+AQ71</f>
        <v>2549588.23</v>
      </c>
      <c r="AS71">
        <v>1</v>
      </c>
      <c r="AT71">
        <v>0</v>
      </c>
      <c r="AU71">
        <v>0</v>
      </c>
      <c r="AV71">
        <f>AU71*1.21</f>
        <v>0</v>
      </c>
      <c r="AW71">
        <v>0</v>
      </c>
      <c r="AX71">
        <f>AT71*AU71</f>
        <v>0</v>
      </c>
      <c r="AY71">
        <f>AX71-AW71</f>
        <v>0</v>
      </c>
      <c r="AZ71">
        <f>AP71-AX71</f>
        <v>2107097.71</v>
      </c>
      <c r="BA71">
        <f>IF(AP71&gt;0,AZ71/AP71,0)</f>
        <v>1</v>
      </c>
      <c r="BB71" t="str">
        <v>Facturado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f>BF71-BH71</f>
        <v>0</v>
      </c>
      <c r="BJ71">
        <v>0</v>
      </c>
      <c r="BK71" t="str">
        <v>-</v>
      </c>
      <c r="BL71">
        <v>0</v>
      </c>
      <c r="BM71">
        <v>0</v>
      </c>
      <c r="BN71">
        <v>0</v>
      </c>
      <c r="BO71">
        <v>0</v>
      </c>
      <c r="BP71">
        <f>BO71-BN71</f>
        <v>0</v>
      </c>
      <c r="BQ71">
        <f>AP71-BO71</f>
        <v>2107097.71</v>
      </c>
    </row>
    <row r="72">
      <c r="A72" t="str">
        <v>TRP-070</v>
      </c>
      <c r="B72">
        <v>2026</v>
      </c>
      <c r="C72">
        <v>8</v>
      </c>
      <c r="D72" t="str">
        <v>ago-26</v>
      </c>
      <c r="E72" t="str">
        <v>ago-26</v>
      </c>
      <c r="F72" t="str">
        <v>31/8/2026</v>
      </c>
      <c r="G72" t="str">
        <v>Propio</v>
      </c>
      <c r="H72" t="str">
        <v>JUAN y MIGUEL</v>
      </c>
      <c r="I72" t="str">
        <v>Conducción Propia</v>
      </c>
      <c r="J72" t="str">
        <v>10</v>
      </c>
      <c r="K72" t="str">
        <v>1</v>
      </c>
      <c r="L72" t="str">
        <v>RONATA</v>
      </c>
      <c r="M72" t="str">
        <v>1000</v>
      </c>
      <c r="N72" t="str">
        <v>RONATA</v>
      </c>
      <c r="O72" t="str">
        <v>209</v>
      </c>
      <c r="P72" t="str">
        <v>Cordoba</v>
      </c>
      <c r="Q72" t="str">
        <v>Rio Cuarto</v>
      </c>
      <c r="R72" t="str">
        <v>-</v>
      </c>
      <c r="S72" t="str">
        <v>RONATA</v>
      </c>
      <c r="T72" t="str">
        <v>Destino Operativo</v>
      </c>
      <c r="U72" t="str">
        <v>Cereales</v>
      </c>
      <c r="V72" t="str">
        <v>Maíz / Cereal</v>
      </c>
      <c r="W72">
        <v>0</v>
      </c>
      <c r="X72">
        <v>0</v>
      </c>
      <c r="Y72">
        <f>W72+X72</f>
        <v>0</v>
      </c>
      <c r="Z72" t="str">
        <v>REM-0897</v>
      </c>
      <c r="AA72" t="str">
        <v>107071</v>
      </c>
      <c r="AB72" t="str">
        <v>31/8/2026</v>
      </c>
      <c r="AC72" t="str">
        <v>31/8/2026</v>
      </c>
      <c r="AD72">
        <v>0</v>
      </c>
      <c r="AE72" t="str">
        <v>-</v>
      </c>
      <c r="AF72">
        <v>0</v>
      </c>
      <c r="AG72">
        <v>0</v>
      </c>
      <c r="AH72">
        <f>AG72-AF72</f>
        <v>0</v>
      </c>
      <c r="AI72">
        <v>0</v>
      </c>
      <c r="AJ72" t="str">
        <v>0012-00897</v>
      </c>
      <c r="AK72" t="str">
        <v>31/8/2026</v>
      </c>
      <c r="AL72" t="str">
        <v>-</v>
      </c>
      <c r="AM72" t="str">
        <v>-</v>
      </c>
      <c r="AN72">
        <v>0</v>
      </c>
      <c r="AO72">
        <v>0</v>
      </c>
      <c r="AP72">
        <f>AN72*AO72</f>
        <v>0</v>
      </c>
      <c r="AQ72">
        <f>AP72*0.21</f>
        <v>0</v>
      </c>
      <c r="AR72">
        <f>AP72+AQ72</f>
        <v>0</v>
      </c>
      <c r="AS72">
        <v>1</v>
      </c>
      <c r="AT72">
        <v>0</v>
      </c>
      <c r="AU72">
        <v>0</v>
      </c>
      <c r="AV72">
        <f>AU72*1.21</f>
        <v>0</v>
      </c>
      <c r="AW72">
        <v>0</v>
      </c>
      <c r="AX72">
        <f>AT72*AU72</f>
        <v>0</v>
      </c>
      <c r="AY72">
        <f>AX72-AW72</f>
        <v>0</v>
      </c>
      <c r="AZ72">
        <f>AP72-AX72</f>
        <v>0</v>
      </c>
      <c r="BA72">
        <f>IF(AP72&gt;0,AZ72/AP72,0)</f>
        <v>1</v>
      </c>
      <c r="BB72" t="str">
        <v>Facturado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f>BF72-BH72</f>
        <v>0</v>
      </c>
      <c r="BJ72">
        <v>0</v>
      </c>
      <c r="BK72" t="str">
        <v>-</v>
      </c>
      <c r="BL72">
        <v>0</v>
      </c>
      <c r="BM72">
        <v>0</v>
      </c>
      <c r="BN72">
        <v>0</v>
      </c>
      <c r="BO72">
        <v>0</v>
      </c>
      <c r="BP72">
        <f>BO72-BN72</f>
        <v>0</v>
      </c>
      <c r="BQ72">
        <f>AP72-BO72</f>
        <v>0</v>
      </c>
    </row>
    <row r="73">
      <c r="A73" t="str">
        <v>TRP-071</v>
      </c>
      <c r="B73">
        <v>2026</v>
      </c>
      <c r="C73">
        <v>8</v>
      </c>
      <c r="D73" t="str">
        <v>ago-26</v>
      </c>
      <c r="E73" t="str">
        <v>ago-26</v>
      </c>
      <c r="F73" t="str">
        <v>31/8/2026</v>
      </c>
      <c r="G73" t="str">
        <v>Propio</v>
      </c>
      <c r="H73" t="str">
        <v>JUAN y MIGUEL</v>
      </c>
      <c r="I73" t="str">
        <v>Conducción Propia</v>
      </c>
      <c r="J73" t="str">
        <v>10</v>
      </c>
      <c r="K73" t="str">
        <v>1</v>
      </c>
      <c r="L73" t="str">
        <v>RONATA</v>
      </c>
      <c r="M73" t="str">
        <v>1000</v>
      </c>
      <c r="N73" t="str">
        <v>RONATA</v>
      </c>
      <c r="O73" t="str">
        <v>209</v>
      </c>
      <c r="P73" t="str">
        <v>Cordoba</v>
      </c>
      <c r="Q73" t="str">
        <v>Rio Cuarto</v>
      </c>
      <c r="R73" t="str">
        <v>-</v>
      </c>
      <c r="S73" t="str">
        <v>RONATA</v>
      </c>
      <c r="T73" t="str">
        <v>Destino Operativo</v>
      </c>
      <c r="U73" t="str">
        <v>Cereales</v>
      </c>
      <c r="V73" t="str">
        <v>Maíz / Cereal</v>
      </c>
      <c r="W73">
        <v>0</v>
      </c>
      <c r="X73">
        <v>0</v>
      </c>
      <c r="Y73">
        <f>W73+X73</f>
        <v>0</v>
      </c>
      <c r="Z73" t="str">
        <v>REM-0898</v>
      </c>
      <c r="AA73" t="str">
        <v>107072</v>
      </c>
      <c r="AB73" t="str">
        <v>31/8/2026</v>
      </c>
      <c r="AC73" t="str">
        <v>31/8/2026</v>
      </c>
      <c r="AD73">
        <v>126.97</v>
      </c>
      <c r="AE73" t="str">
        <v>-</v>
      </c>
      <c r="AF73">
        <v>0</v>
      </c>
      <c r="AG73">
        <v>0</v>
      </c>
      <c r="AH73">
        <f>AG73-AF73</f>
        <v>0</v>
      </c>
      <c r="AI73">
        <v>0</v>
      </c>
      <c r="AJ73" t="str">
        <v>0012-00898</v>
      </c>
      <c r="AK73" t="str">
        <v>31/8/2026</v>
      </c>
      <c r="AL73" t="str">
        <v>-</v>
      </c>
      <c r="AM73" t="str">
        <v>-</v>
      </c>
      <c r="AN73">
        <v>126.97</v>
      </c>
      <c r="AO73">
        <v>4254.72</v>
      </c>
      <c r="AP73">
        <f>AN73*AO73</f>
        <v>540222.36</v>
      </c>
      <c r="AQ73">
        <f>AP73*0.21</f>
        <v>113446.71</v>
      </c>
      <c r="AR73">
        <f>AP73+AQ73</f>
        <v>653669.07</v>
      </c>
      <c r="AS73">
        <v>1</v>
      </c>
      <c r="AT73">
        <v>0</v>
      </c>
      <c r="AU73">
        <v>0</v>
      </c>
      <c r="AV73">
        <f>AU73*1.21</f>
        <v>0</v>
      </c>
      <c r="AW73">
        <v>0</v>
      </c>
      <c r="AX73">
        <f>AT73*AU73</f>
        <v>0</v>
      </c>
      <c r="AY73">
        <f>AX73-AW73</f>
        <v>0</v>
      </c>
      <c r="AZ73">
        <f>AP73-AX73</f>
        <v>540222.36</v>
      </c>
      <c r="BA73">
        <f>IF(AP73&gt;0,AZ73/AP73,0)</f>
        <v>1</v>
      </c>
      <c r="BB73" t="str">
        <v>Facturado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f>BF73-BH73</f>
        <v>0</v>
      </c>
      <c r="BJ73">
        <v>0</v>
      </c>
      <c r="BK73" t="str">
        <v>-</v>
      </c>
      <c r="BL73">
        <v>0</v>
      </c>
      <c r="BM73">
        <v>0</v>
      </c>
      <c r="BN73">
        <v>0</v>
      </c>
      <c r="BO73">
        <v>0</v>
      </c>
      <c r="BP73">
        <f>BO73-BN73</f>
        <v>0</v>
      </c>
      <c r="BQ73">
        <f>AP73-BO73</f>
        <v>540222.36</v>
      </c>
    </row>
    <row r="74">
      <c r="A74" t="str">
        <v>TRP-072</v>
      </c>
      <c r="B74">
        <v>2026</v>
      </c>
      <c r="C74">
        <v>8</v>
      </c>
      <c r="D74" t="str">
        <v>ago-26</v>
      </c>
      <c r="E74" t="str">
        <v>ago-26</v>
      </c>
      <c r="F74" t="str">
        <v>8/8/2026</v>
      </c>
      <c r="G74" t="str">
        <v>Propio</v>
      </c>
      <c r="H74" t="str">
        <v>JUAN y MIGUEL</v>
      </c>
      <c r="I74" t="str">
        <v>Conducción Propia</v>
      </c>
      <c r="J74" t="str">
        <v>10</v>
      </c>
      <c r="K74" t="str">
        <v>1</v>
      </c>
      <c r="L74" t="str">
        <v>ABIC</v>
      </c>
      <c r="M74" t="str">
        <v>1000</v>
      </c>
      <c r="N74" t="str">
        <v>ABIC</v>
      </c>
      <c r="O74" t="str">
        <v>209</v>
      </c>
      <c r="P74" t="str">
        <v>Cordoba</v>
      </c>
      <c r="Q74" t="str">
        <v>Rio Cuarto</v>
      </c>
      <c r="R74" t="str">
        <v>-</v>
      </c>
      <c r="S74" t="str">
        <v>ABIC</v>
      </c>
      <c r="T74" t="str">
        <v>Destino Operativo</v>
      </c>
      <c r="U74" t="str">
        <v>Cereales</v>
      </c>
      <c r="V74" t="str">
        <v>Maíz / Cereal</v>
      </c>
      <c r="W74">
        <v>0</v>
      </c>
      <c r="X74">
        <v>0</v>
      </c>
      <c r="Y74">
        <f>W74+X74</f>
        <v>0</v>
      </c>
      <c r="Z74" t="str">
        <v>REM-5223</v>
      </c>
      <c r="AA74" t="str">
        <v>107073</v>
      </c>
      <c r="AB74" t="str">
        <v>8/8/2026</v>
      </c>
      <c r="AC74" t="str">
        <v>8/8/2026</v>
      </c>
      <c r="AD74">
        <v>45.32</v>
      </c>
      <c r="AE74" t="str">
        <v>-</v>
      </c>
      <c r="AF74">
        <v>0</v>
      </c>
      <c r="AG74">
        <v>0</v>
      </c>
      <c r="AH74">
        <f>AG74-AF74</f>
        <v>0</v>
      </c>
      <c r="AI74">
        <v>0</v>
      </c>
      <c r="AJ74" t="str">
        <v>12-5223</v>
      </c>
      <c r="AK74" t="str">
        <v>8/8/2026</v>
      </c>
      <c r="AL74" t="str">
        <v>-</v>
      </c>
      <c r="AM74" t="str">
        <v>-</v>
      </c>
      <c r="AN74">
        <v>45.32</v>
      </c>
      <c r="AO74">
        <v>4255.25</v>
      </c>
      <c r="AP74">
        <f>AN74*AO74</f>
        <v>192848</v>
      </c>
      <c r="AQ74">
        <f>AP74*0.21</f>
        <v>40498.08</v>
      </c>
      <c r="AR74">
        <f>AP74+AQ74</f>
        <v>233346.08</v>
      </c>
      <c r="AS74">
        <v>1</v>
      </c>
      <c r="AT74">
        <v>0</v>
      </c>
      <c r="AU74">
        <v>0</v>
      </c>
      <c r="AV74">
        <f>AU74*1.21</f>
        <v>0</v>
      </c>
      <c r="AW74">
        <v>0</v>
      </c>
      <c r="AX74">
        <f>AT74*AU74</f>
        <v>0</v>
      </c>
      <c r="AY74">
        <f>AX74-AW74</f>
        <v>0</v>
      </c>
      <c r="AZ74">
        <f>AP74-AX74</f>
        <v>192848</v>
      </c>
      <c r="BA74">
        <f>IF(AP74&gt;0,AZ74/AP74,0)</f>
        <v>1</v>
      </c>
      <c r="BB74" t="str">
        <v>Facturado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f>BF74-BH74</f>
        <v>0</v>
      </c>
      <c r="BJ74">
        <v>0</v>
      </c>
      <c r="BK74" t="str">
        <v>-</v>
      </c>
      <c r="BL74">
        <v>0</v>
      </c>
      <c r="BM74">
        <v>0</v>
      </c>
      <c r="BN74">
        <v>0</v>
      </c>
      <c r="BO74">
        <v>0</v>
      </c>
      <c r="BP74">
        <f>BO74-BN74</f>
        <v>0</v>
      </c>
      <c r="BQ74">
        <f>AP74-BO74</f>
        <v>192848</v>
      </c>
    </row>
    <row r="75">
      <c r="A75" t="str">
        <v>TRP-073</v>
      </c>
      <c r="B75">
        <v>2026</v>
      </c>
      <c r="C75">
        <v>8</v>
      </c>
      <c r="D75" t="str">
        <v>ago-26</v>
      </c>
      <c r="E75" t="str">
        <v>ago-26</v>
      </c>
      <c r="F75" t="str">
        <v>17/8/2026</v>
      </c>
      <c r="G75" t="str">
        <v>Propio</v>
      </c>
      <c r="H75" t="str">
        <v>JUAN y MIGUEL</v>
      </c>
      <c r="I75" t="str">
        <v>Conducción Propia</v>
      </c>
      <c r="J75" t="str">
        <v>10</v>
      </c>
      <c r="K75" t="str">
        <v>1</v>
      </c>
      <c r="L75" t="str">
        <v>ABIC</v>
      </c>
      <c r="M75" t="str">
        <v>1000</v>
      </c>
      <c r="N75" t="str">
        <v>ABIC</v>
      </c>
      <c r="O75" t="str">
        <v>209</v>
      </c>
      <c r="P75" t="str">
        <v>Cordoba</v>
      </c>
      <c r="Q75" t="str">
        <v>Rio Cuarto</v>
      </c>
      <c r="R75" t="str">
        <v>-</v>
      </c>
      <c r="S75" t="str">
        <v>ABIC</v>
      </c>
      <c r="T75" t="str">
        <v>Destino Operativo</v>
      </c>
      <c r="U75" t="str">
        <v>Cereales</v>
      </c>
      <c r="V75" t="str">
        <v>Maíz / Cereal</v>
      </c>
      <c r="W75">
        <v>0</v>
      </c>
      <c r="X75">
        <v>0</v>
      </c>
      <c r="Y75">
        <f>W75+X75</f>
        <v>0</v>
      </c>
      <c r="Z75" t="str">
        <v>REM-5231</v>
      </c>
      <c r="AA75" t="str">
        <v>107074</v>
      </c>
      <c r="AB75" t="str">
        <v>17/8/2026</v>
      </c>
      <c r="AC75" t="str">
        <v>17/8/2026</v>
      </c>
      <c r="AD75">
        <v>226.62</v>
      </c>
      <c r="AE75" t="str">
        <v>-</v>
      </c>
      <c r="AF75">
        <v>0</v>
      </c>
      <c r="AG75">
        <v>0</v>
      </c>
      <c r="AH75">
        <f>AG75-AF75</f>
        <v>0</v>
      </c>
      <c r="AI75">
        <v>0</v>
      </c>
      <c r="AJ75" t="str">
        <v>12-5231</v>
      </c>
      <c r="AK75" t="str">
        <v>17/8/2026</v>
      </c>
      <c r="AL75" t="str">
        <v>-</v>
      </c>
      <c r="AM75" t="str">
        <v>-</v>
      </c>
      <c r="AN75">
        <v>226.62</v>
      </c>
      <c r="AO75">
        <v>4254.88</v>
      </c>
      <c r="AP75">
        <f>AN75*AO75</f>
        <v>964240</v>
      </c>
      <c r="AQ75">
        <f>AP75*0.21</f>
        <v>202490.4</v>
      </c>
      <c r="AR75">
        <f>AP75+AQ75</f>
        <v>1166730.4</v>
      </c>
      <c r="AS75">
        <v>1</v>
      </c>
      <c r="AT75">
        <v>0</v>
      </c>
      <c r="AU75">
        <v>0</v>
      </c>
      <c r="AV75">
        <f>AU75*1.21</f>
        <v>0</v>
      </c>
      <c r="AW75">
        <v>0</v>
      </c>
      <c r="AX75">
        <f>AT75*AU75</f>
        <v>0</v>
      </c>
      <c r="AY75">
        <f>AX75-AW75</f>
        <v>0</v>
      </c>
      <c r="AZ75">
        <f>AP75-AX75</f>
        <v>964240</v>
      </c>
      <c r="BA75">
        <f>IF(AP75&gt;0,AZ75/AP75,0)</f>
        <v>1</v>
      </c>
      <c r="BB75" t="str">
        <v>Facturado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f>BF75-BH75</f>
        <v>0</v>
      </c>
      <c r="BJ75">
        <v>0</v>
      </c>
      <c r="BK75" t="str">
        <v>-</v>
      </c>
      <c r="BL75">
        <v>0</v>
      </c>
      <c r="BM75">
        <v>0</v>
      </c>
      <c r="BN75">
        <v>0</v>
      </c>
      <c r="BO75">
        <v>0</v>
      </c>
      <c r="BP75">
        <f>BO75-BN75</f>
        <v>0</v>
      </c>
      <c r="BQ75">
        <f>AP75-BO75</f>
        <v>964240</v>
      </c>
    </row>
    <row r="76">
      <c r="A76" t="str">
        <v>TRP-074</v>
      </c>
      <c r="B76">
        <v>2026</v>
      </c>
      <c r="C76">
        <v>8</v>
      </c>
      <c r="D76" t="str">
        <v>ago-26</v>
      </c>
      <c r="E76" t="str">
        <v>ago-26</v>
      </c>
      <c r="F76" t="str">
        <v>24/8/2026</v>
      </c>
      <c r="G76" t="str">
        <v>Propio</v>
      </c>
      <c r="H76" t="str">
        <v>JUAN y MIGUEL</v>
      </c>
      <c r="I76" t="str">
        <v>Conducción Propia</v>
      </c>
      <c r="J76" t="str">
        <v>10</v>
      </c>
      <c r="K76" t="str">
        <v>1</v>
      </c>
      <c r="L76" t="str">
        <v>ABIC</v>
      </c>
      <c r="M76" t="str">
        <v>1000</v>
      </c>
      <c r="N76" t="str">
        <v>ABIC</v>
      </c>
      <c r="O76" t="str">
        <v>209</v>
      </c>
      <c r="P76" t="str">
        <v>Cordoba</v>
      </c>
      <c r="Q76" t="str">
        <v>Rio Cuarto</v>
      </c>
      <c r="R76" t="str">
        <v>-</v>
      </c>
      <c r="S76" t="str">
        <v>ABIC</v>
      </c>
      <c r="T76" t="str">
        <v>Destino Operativo</v>
      </c>
      <c r="U76" t="str">
        <v>Cereales</v>
      </c>
      <c r="V76" t="str">
        <v>Maíz / Cereal</v>
      </c>
      <c r="W76">
        <v>0</v>
      </c>
      <c r="X76">
        <v>0</v>
      </c>
      <c r="Y76">
        <f>W76+X76</f>
        <v>0</v>
      </c>
      <c r="Z76" t="str">
        <v>REM-5234</v>
      </c>
      <c r="AA76" t="str">
        <v>107075</v>
      </c>
      <c r="AB76" t="str">
        <v>24/8/2026</v>
      </c>
      <c r="AC76" t="str">
        <v>24/8/2026</v>
      </c>
      <c r="AD76">
        <v>90.65</v>
      </c>
      <c r="AE76" t="str">
        <v>-</v>
      </c>
      <c r="AF76">
        <v>0</v>
      </c>
      <c r="AG76">
        <v>0</v>
      </c>
      <c r="AH76">
        <f>AG76-AF76</f>
        <v>0</v>
      </c>
      <c r="AI76">
        <v>0</v>
      </c>
      <c r="AJ76" t="str">
        <v>12-5234</v>
      </c>
      <c r="AK76" t="str">
        <v>24/8/2026</v>
      </c>
      <c r="AL76" t="str">
        <v>-</v>
      </c>
      <c r="AM76" t="str">
        <v>-</v>
      </c>
      <c r="AN76">
        <v>90.65</v>
      </c>
      <c r="AO76">
        <v>4254.78</v>
      </c>
      <c r="AP76">
        <f>AN76*AO76</f>
        <v>385696</v>
      </c>
      <c r="AQ76">
        <f>AP76*0.21</f>
        <v>80996.16</v>
      </c>
      <c r="AR76">
        <f>AP76+AQ76</f>
        <v>466692.16</v>
      </c>
      <c r="AS76">
        <v>1</v>
      </c>
      <c r="AT76">
        <v>0</v>
      </c>
      <c r="AU76">
        <v>0</v>
      </c>
      <c r="AV76">
        <f>AU76*1.21</f>
        <v>0</v>
      </c>
      <c r="AW76">
        <v>0</v>
      </c>
      <c r="AX76">
        <f>AT76*AU76</f>
        <v>0</v>
      </c>
      <c r="AY76">
        <f>AX76-AW76</f>
        <v>0</v>
      </c>
      <c r="AZ76">
        <f>AP76-AX76</f>
        <v>385696</v>
      </c>
      <c r="BA76">
        <f>IF(AP76&gt;0,AZ76/AP76,0)</f>
        <v>1</v>
      </c>
      <c r="BB76" t="str">
        <v>Facturado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f>BF76-BH76</f>
        <v>0</v>
      </c>
      <c r="BJ76">
        <v>0</v>
      </c>
      <c r="BK76" t="str">
        <v>-</v>
      </c>
      <c r="BL76">
        <v>0</v>
      </c>
      <c r="BM76">
        <v>0</v>
      </c>
      <c r="BN76">
        <v>0</v>
      </c>
      <c r="BO76">
        <v>0</v>
      </c>
      <c r="BP76">
        <f>BO76-BN76</f>
        <v>0</v>
      </c>
      <c r="BQ76">
        <f>AP76-BO76</f>
        <v>385696</v>
      </c>
    </row>
    <row r="77">
      <c r="A77" t="str">
        <v>TRP-075</v>
      </c>
      <c r="B77">
        <v>2026</v>
      </c>
      <c r="C77">
        <v>8</v>
      </c>
      <c r="D77" t="str">
        <v>ago-26</v>
      </c>
      <c r="E77" t="str">
        <v>ago-26</v>
      </c>
      <c r="F77" t="str">
        <v>27/8/2026</v>
      </c>
      <c r="G77" t="str">
        <v>Propio</v>
      </c>
      <c r="H77" t="str">
        <v>JUAN y MIGUEL</v>
      </c>
      <c r="I77" t="str">
        <v>Conducción Propia</v>
      </c>
      <c r="J77" t="str">
        <v>10</v>
      </c>
      <c r="K77" t="str">
        <v>1</v>
      </c>
      <c r="L77" t="str">
        <v>ABIC</v>
      </c>
      <c r="M77" t="str">
        <v>1000</v>
      </c>
      <c r="N77" t="str">
        <v>ABIC</v>
      </c>
      <c r="O77" t="str">
        <v>209</v>
      </c>
      <c r="P77" t="str">
        <v>Cordoba</v>
      </c>
      <c r="Q77" t="str">
        <v>Rio Cuarto</v>
      </c>
      <c r="R77" t="str">
        <v>-</v>
      </c>
      <c r="S77" t="str">
        <v>ABIC</v>
      </c>
      <c r="T77" t="str">
        <v>Destino Operativo</v>
      </c>
      <c r="U77" t="str">
        <v>Cereales</v>
      </c>
      <c r="V77" t="str">
        <v>Maíz / Cereal</v>
      </c>
      <c r="W77">
        <v>0</v>
      </c>
      <c r="X77">
        <v>0</v>
      </c>
      <c r="Y77">
        <f>W77+X77</f>
        <v>0</v>
      </c>
      <c r="Z77" t="str">
        <v>REM-5245</v>
      </c>
      <c r="AA77" t="str">
        <v>107076</v>
      </c>
      <c r="AB77" t="str">
        <v>27/8/2026</v>
      </c>
      <c r="AC77" t="str">
        <v>27/8/2026</v>
      </c>
      <c r="AD77">
        <v>135.97</v>
      </c>
      <c r="AE77" t="str">
        <v>-</v>
      </c>
      <c r="AF77">
        <v>0</v>
      </c>
      <c r="AG77">
        <v>0</v>
      </c>
      <c r="AH77">
        <f>AG77-AF77</f>
        <v>0</v>
      </c>
      <c r="AI77">
        <v>0</v>
      </c>
      <c r="AJ77" t="str">
        <v>12-5245</v>
      </c>
      <c r="AK77" t="str">
        <v>27/8/2026</v>
      </c>
      <c r="AL77" t="str">
        <v>-</v>
      </c>
      <c r="AM77" t="str">
        <v>-</v>
      </c>
      <c r="AN77">
        <v>135.97</v>
      </c>
      <c r="AO77">
        <v>4254.94</v>
      </c>
      <c r="AP77">
        <f>AN77*AO77</f>
        <v>578544</v>
      </c>
      <c r="AQ77">
        <f>AP77*0.21</f>
        <v>121494.24</v>
      </c>
      <c r="AR77">
        <f>AP77+AQ77</f>
        <v>700038.24</v>
      </c>
      <c r="AS77">
        <v>1</v>
      </c>
      <c r="AT77">
        <v>0</v>
      </c>
      <c r="AU77">
        <v>0</v>
      </c>
      <c r="AV77">
        <f>AU77*1.21</f>
        <v>0</v>
      </c>
      <c r="AW77">
        <v>0</v>
      </c>
      <c r="AX77">
        <f>AT77*AU77</f>
        <v>0</v>
      </c>
      <c r="AY77">
        <f>AX77-AW77</f>
        <v>0</v>
      </c>
      <c r="AZ77">
        <f>AP77-AX77</f>
        <v>578544</v>
      </c>
      <c r="BA77">
        <f>IF(AP77&gt;0,AZ77/AP77,0)</f>
        <v>1</v>
      </c>
      <c r="BB77" t="str">
        <v>Facturado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f>BF77-BH77</f>
        <v>0</v>
      </c>
      <c r="BJ77">
        <v>0</v>
      </c>
      <c r="BK77" t="str">
        <v>-</v>
      </c>
      <c r="BL77">
        <v>0</v>
      </c>
      <c r="BM77">
        <v>0</v>
      </c>
      <c r="BN77">
        <v>0</v>
      </c>
      <c r="BO77">
        <v>0</v>
      </c>
      <c r="BP77">
        <f>BO77-BN77</f>
        <v>0</v>
      </c>
      <c r="BQ77">
        <f>AP77-BO77</f>
        <v>578544</v>
      </c>
    </row>
    <row r="78">
      <c r="A78" t="str">
        <v>TRP-076</v>
      </c>
      <c r="B78">
        <v>2026</v>
      </c>
      <c r="C78">
        <v>8</v>
      </c>
      <c r="D78" t="str">
        <v>ago-26</v>
      </c>
      <c r="E78" t="str">
        <v>ago-26</v>
      </c>
      <c r="F78" t="str">
        <v>27/8/2026</v>
      </c>
      <c r="G78" t="str">
        <v>Propio</v>
      </c>
      <c r="H78" t="str">
        <v>JUAN y MIGUEL</v>
      </c>
      <c r="I78" t="str">
        <v>Conducción Propia</v>
      </c>
      <c r="J78" t="str">
        <v>10</v>
      </c>
      <c r="K78" t="str">
        <v>1</v>
      </c>
      <c r="L78" t="str">
        <v>PUCARA</v>
      </c>
      <c r="M78" t="str">
        <v>1000</v>
      </c>
      <c r="N78" t="str">
        <v>PUCARA</v>
      </c>
      <c r="O78" t="str">
        <v>209</v>
      </c>
      <c r="P78" t="str">
        <v>Cordoba</v>
      </c>
      <c r="Q78" t="str">
        <v>Rio Cuarto</v>
      </c>
      <c r="R78" t="str">
        <v>-</v>
      </c>
      <c r="S78" t="str">
        <v>PUCARA</v>
      </c>
      <c r="T78" t="str">
        <v>Destino Operativo</v>
      </c>
      <c r="U78" t="str">
        <v>Cereales</v>
      </c>
      <c r="V78" t="str">
        <v>Maíz / Cereal</v>
      </c>
      <c r="W78">
        <v>0</v>
      </c>
      <c r="X78">
        <v>0</v>
      </c>
      <c r="Y78">
        <f>W78+X78</f>
        <v>0</v>
      </c>
      <c r="Z78" t="str">
        <v>REM-5246</v>
      </c>
      <c r="AA78" t="str">
        <v>107077</v>
      </c>
      <c r="AB78" t="str">
        <v>27/8/2026</v>
      </c>
      <c r="AC78" t="str">
        <v>27/8/2026</v>
      </c>
      <c r="AD78">
        <v>75.47</v>
      </c>
      <c r="AE78" t="str">
        <v>-</v>
      </c>
      <c r="AF78">
        <v>0</v>
      </c>
      <c r="AG78">
        <v>0</v>
      </c>
      <c r="AH78">
        <f>AG78-AF78</f>
        <v>0</v>
      </c>
      <c r="AI78">
        <v>0</v>
      </c>
      <c r="AJ78" t="str">
        <v>12-5246</v>
      </c>
      <c r="AK78" t="str">
        <v>27/8/2026</v>
      </c>
      <c r="AL78" t="str">
        <v>-</v>
      </c>
      <c r="AM78" t="str">
        <v>-</v>
      </c>
      <c r="AN78">
        <v>75.47</v>
      </c>
      <c r="AO78">
        <v>4254.67</v>
      </c>
      <c r="AP78">
        <f>AN78*AO78</f>
        <v>321100</v>
      </c>
      <c r="AQ78">
        <f>AP78*0.21</f>
        <v>67431</v>
      </c>
      <c r="AR78">
        <f>AP78+AQ78</f>
        <v>388531</v>
      </c>
      <c r="AS78">
        <v>1</v>
      </c>
      <c r="AT78">
        <v>0</v>
      </c>
      <c r="AU78">
        <v>0</v>
      </c>
      <c r="AV78">
        <f>AU78*1.21</f>
        <v>0</v>
      </c>
      <c r="AW78">
        <v>0</v>
      </c>
      <c r="AX78">
        <f>AT78*AU78</f>
        <v>0</v>
      </c>
      <c r="AY78">
        <f>AX78-AW78</f>
        <v>0</v>
      </c>
      <c r="AZ78">
        <f>AP78-AX78</f>
        <v>321100</v>
      </c>
      <c r="BA78">
        <f>IF(AP78&gt;0,AZ78/AP78,0)</f>
        <v>1</v>
      </c>
      <c r="BB78" t="str">
        <v>Facturado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f>BF78-BH78</f>
        <v>0</v>
      </c>
      <c r="BJ78">
        <v>0</v>
      </c>
      <c r="BK78" t="str">
        <v>-</v>
      </c>
      <c r="BL78">
        <v>0</v>
      </c>
      <c r="BM78">
        <v>0</v>
      </c>
      <c r="BN78">
        <v>0</v>
      </c>
      <c r="BO78">
        <v>0</v>
      </c>
      <c r="BP78">
        <f>BO78-BN78</f>
        <v>0</v>
      </c>
      <c r="BQ78">
        <f>AP78-BO78</f>
        <v>321100</v>
      </c>
    </row>
    <row r="79">
      <c r="A79" t="str">
        <v>TRP-077</v>
      </c>
      <c r="B79">
        <v>2026</v>
      </c>
      <c r="C79">
        <v>8</v>
      </c>
      <c r="D79" t="str">
        <v>ago-26</v>
      </c>
      <c r="E79" t="str">
        <v>ago-26</v>
      </c>
      <c r="F79" t="str">
        <v>30+L9:P42/11/2019</v>
      </c>
      <c r="G79" t="str">
        <v>Propio</v>
      </c>
      <c r="H79" t="str">
        <v>JUAN y MIGUEL</v>
      </c>
      <c r="I79" t="str">
        <v>Conducción Propia</v>
      </c>
      <c r="J79" t="str">
        <v>10</v>
      </c>
      <c r="K79" t="str">
        <v>1</v>
      </c>
      <c r="L79" t="str">
        <v>DALMASO - RONATA</v>
      </c>
      <c r="M79" t="str">
        <v>1000</v>
      </c>
      <c r="N79" t="str">
        <v>DALMASO - RONATA</v>
      </c>
      <c r="O79" t="str">
        <v>209</v>
      </c>
      <c r="P79" t="str">
        <v>Cordoba</v>
      </c>
      <c r="Q79" t="str">
        <v>Rio Cuarto</v>
      </c>
      <c r="R79" t="str">
        <v>-</v>
      </c>
      <c r="S79" t="str">
        <v>DALMASO - RONATA</v>
      </c>
      <c r="T79" t="str">
        <v>Destino Operativo</v>
      </c>
      <c r="U79" t="str">
        <v>Cereales</v>
      </c>
      <c r="V79" t="str">
        <v>Maíz / Cereal</v>
      </c>
      <c r="W79">
        <v>0</v>
      </c>
      <c r="X79">
        <v>0</v>
      </c>
      <c r="Y79">
        <f>W79+X79</f>
        <v>0</v>
      </c>
      <c r="Z79" t="str">
        <v>REM-01</v>
      </c>
      <c r="AA79" t="str">
        <v>107078</v>
      </c>
      <c r="AB79" t="str">
        <v>30+L9:P42/11/2019</v>
      </c>
      <c r="AC79" t="str">
        <v>30+L9:P42/11/2019</v>
      </c>
      <c r="AD79">
        <v>0</v>
      </c>
      <c r="AE79" t="str">
        <v>-</v>
      </c>
      <c r="AF79">
        <v>0</v>
      </c>
      <c r="AG79">
        <v>0</v>
      </c>
      <c r="AH79">
        <f>AG79-AF79</f>
        <v>0</v>
      </c>
      <c r="AI79">
        <v>0</v>
      </c>
      <c r="AJ79" t="str">
        <v>Dalmaso</v>
      </c>
      <c r="AK79" t="str">
        <v>30+L9:P42/11/2019</v>
      </c>
      <c r="AL79" t="str">
        <v>-</v>
      </c>
      <c r="AM79" t="str">
        <v>-</v>
      </c>
      <c r="AN79">
        <v>0</v>
      </c>
      <c r="AO79">
        <v>0</v>
      </c>
      <c r="AP79">
        <f>AN79*AO79</f>
        <v>0</v>
      </c>
      <c r="AQ79">
        <f>AP79*0.21</f>
        <v>0</v>
      </c>
      <c r="AR79">
        <f>AP79+AQ79</f>
        <v>0</v>
      </c>
      <c r="AS79">
        <v>1</v>
      </c>
      <c r="AT79">
        <v>0</v>
      </c>
      <c r="AU79">
        <v>0</v>
      </c>
      <c r="AV79">
        <f>AU79*1.21</f>
        <v>0</v>
      </c>
      <c r="AW79">
        <v>0</v>
      </c>
      <c r="AX79">
        <f>AT79*AU79</f>
        <v>0</v>
      </c>
      <c r="AY79">
        <f>AX79-AW79</f>
        <v>0</v>
      </c>
      <c r="AZ79">
        <f>AP79-AX79</f>
        <v>0</v>
      </c>
      <c r="BA79">
        <f>IF(AP79&gt;0,AZ79/AP79,0)</f>
        <v>1</v>
      </c>
      <c r="BB79" t="str">
        <v>Facturado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f>BF79-BH79</f>
        <v>0</v>
      </c>
      <c r="BJ79">
        <v>0</v>
      </c>
      <c r="BK79" t="str">
        <v>-</v>
      </c>
      <c r="BL79">
        <v>0</v>
      </c>
      <c r="BM79">
        <v>0</v>
      </c>
      <c r="BN79">
        <v>0</v>
      </c>
      <c r="BO79">
        <v>0</v>
      </c>
      <c r="BP79">
        <f>BO79-BN79</f>
        <v>0</v>
      </c>
      <c r="BQ79">
        <f>AP79-BO79</f>
        <v>0</v>
      </c>
    </row>
    <row r="80">
      <c r="A80" t="str">
        <v>TRP-078</v>
      </c>
      <c r="B80">
        <v>2026</v>
      </c>
      <c r="C80">
        <v>8</v>
      </c>
      <c r="D80" t="str">
        <v>ago-26</v>
      </c>
      <c r="E80" t="str">
        <v>ago-26</v>
      </c>
      <c r="F80" t="str">
        <v>24/8/2026</v>
      </c>
      <c r="G80" t="str">
        <v>Propio</v>
      </c>
      <c r="H80" t="str">
        <v>JUAN y MIGUEL</v>
      </c>
      <c r="I80" t="str">
        <v>Conducción Propia</v>
      </c>
      <c r="J80" t="str">
        <v>10</v>
      </c>
      <c r="K80" t="str">
        <v>1</v>
      </c>
      <c r="L80" t="str">
        <v>GRANJA SAN JUAN</v>
      </c>
      <c r="M80" t="str">
        <v>1000</v>
      </c>
      <c r="N80" t="str">
        <v>GRANJA SAN JUAN</v>
      </c>
      <c r="O80" t="str">
        <v>209</v>
      </c>
      <c r="P80" t="str">
        <v>Cordoba</v>
      </c>
      <c r="Q80" t="str">
        <v>Rio Cuarto</v>
      </c>
      <c r="R80" t="str">
        <v>-</v>
      </c>
      <c r="S80" t="str">
        <v>GRANJA SAN JUAN</v>
      </c>
      <c r="T80" t="str">
        <v>Destino Operativo</v>
      </c>
      <c r="U80" t="str">
        <v>Cereales</v>
      </c>
      <c r="V80" t="str">
        <v>Maíz / Cereal</v>
      </c>
      <c r="W80">
        <v>0</v>
      </c>
      <c r="X80">
        <v>0</v>
      </c>
      <c r="Y80">
        <f>W80+X80</f>
        <v>0</v>
      </c>
      <c r="Z80" t="str">
        <v>REM-5236</v>
      </c>
      <c r="AA80" t="str">
        <v>107079</v>
      </c>
      <c r="AB80" t="str">
        <v>24/8/2026</v>
      </c>
      <c r="AC80" t="str">
        <v>24/8/2026</v>
      </c>
      <c r="AD80">
        <v>218.84</v>
      </c>
      <c r="AE80" t="str">
        <v>-</v>
      </c>
      <c r="AF80">
        <v>0</v>
      </c>
      <c r="AG80">
        <v>0</v>
      </c>
      <c r="AH80">
        <f>AG80-AF80</f>
        <v>0</v>
      </c>
      <c r="AI80">
        <v>0</v>
      </c>
      <c r="AJ80" t="str">
        <v>12-5236</v>
      </c>
      <c r="AK80" t="str">
        <v>24/8/2026</v>
      </c>
      <c r="AL80" t="str">
        <v>-</v>
      </c>
      <c r="AM80" t="str">
        <v>-</v>
      </c>
      <c r="AN80">
        <v>218.84</v>
      </c>
      <c r="AO80">
        <v>4254.89</v>
      </c>
      <c r="AP80">
        <f>AN80*AO80</f>
        <v>931140</v>
      </c>
      <c r="AQ80">
        <f>AP80*0.21</f>
        <v>195539.4</v>
      </c>
      <c r="AR80">
        <f>AP80+AQ80</f>
        <v>1126679.4</v>
      </c>
      <c r="AS80">
        <v>1</v>
      </c>
      <c r="AT80">
        <v>0</v>
      </c>
      <c r="AU80">
        <v>0</v>
      </c>
      <c r="AV80">
        <f>AU80*1.21</f>
        <v>0</v>
      </c>
      <c r="AW80">
        <v>0</v>
      </c>
      <c r="AX80">
        <f>AT80*AU80</f>
        <v>0</v>
      </c>
      <c r="AY80">
        <f>AX80-AW80</f>
        <v>0</v>
      </c>
      <c r="AZ80">
        <f>AP80-AX80</f>
        <v>931140</v>
      </c>
      <c r="BA80">
        <f>IF(AP80&gt;0,AZ80/AP80,0)</f>
        <v>1</v>
      </c>
      <c r="BB80" t="str">
        <v>Facturado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f>BF80-BH80</f>
        <v>0</v>
      </c>
      <c r="BJ80">
        <v>0</v>
      </c>
      <c r="BK80" t="str">
        <v>-</v>
      </c>
      <c r="BL80">
        <v>0</v>
      </c>
      <c r="BM80">
        <v>0</v>
      </c>
      <c r="BN80">
        <v>0</v>
      </c>
      <c r="BO80">
        <v>0</v>
      </c>
      <c r="BP80">
        <f>BO80-BN80</f>
        <v>0</v>
      </c>
      <c r="BQ80">
        <f>AP80-BO80</f>
        <v>931140</v>
      </c>
    </row>
    <row r="81">
      <c r="A81" t="str">
        <v>TOTALES CONSOLIDADOS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>
        <f>SUM(AD3:AD80)</f>
        <v>5497.570000000001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>
        <f>SUM(AP3:AP80)</f>
        <v>23301437.06</v>
      </c>
      <c r="AQ81">
        <f>SUM(AQ3:AQ80)</f>
        <v>4893301.770000001</v>
      </c>
      <c r="AR81">
        <f>SUM(AR3:AR80)</f>
        <v>28194738.839999996</v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>
        <f>SUM(AX3:AX80)</f>
        <v>1244339.71</v>
      </c>
      <c r="AY81" t="str">
        <v/>
      </c>
      <c r="AZ81">
        <f>SUM(AZ3:AZ80)</f>
        <v>22057097.349999998</v>
      </c>
      <c r="BA81">
        <f>IF(AP81&gt;0,AZ81/AP81,0)</f>
        <v>0.9465981558649842</v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</row>
  </sheetData>
  <ignoredErrors>
    <ignoredError numberStoredAsText="1" sqref="A1:BQ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30.83203125" customWidth="1"/>
    <col min="2" max="2" width="22.83203125" customWidth="1"/>
    <col min="3" max="3" width="22.83203125" customWidth="1"/>
    <col min="4" max="4" width="20.83203125" customWidth="1"/>
    <col min="5" max="5" width="26.83203125" customWidth="1"/>
    <col min="6" max="6" width="14.83203125" customWidth="1"/>
  </cols>
  <sheetData>
    <row r="1">
      <c r="A1" t="str">
        <v>CONTROL Y SEGUIMIENTO DE DOCUMENTACIÓN PENDIENTE</v>
      </c>
    </row>
    <row r="2">
      <c r="A2" t="str">
        <v>Reporte de control administrativo para identificar las órdenes de carga asignadas que tienen documentación pendiente de entrega (remitos cliente o Juan y Miguel), facilitando su gestión antes de la liquidación de fleteros y habilitación para facturación.</v>
      </c>
    </row>
    <row r="4">
      <c r="A4" t="str">
        <v>Total Órdenes</v>
      </c>
      <c r="B4" t="str">
        <v>Remitos Pendientes</v>
      </c>
      <c r="C4" t="str">
        <v>Facturas Pendientes</v>
      </c>
      <c r="D4" t="str">
        <v>Tn Pendientes de Facturar</v>
      </c>
    </row>
    <row r="5">
      <c r="A5">
        <v>78</v>
      </c>
      <c r="B5" t="str">
        <v>5 viajes</v>
      </c>
      <c r="C5" t="str">
        <v>6 órdenes</v>
      </c>
      <c r="D5" t="str">
        <v>179,97 Tn</v>
      </c>
    </row>
    <row r="7">
      <c r="A7" t="str">
        <v>FILTROS SUPERIORES DE CONTROL (Paso 1)</v>
      </c>
    </row>
    <row r="8">
      <c r="A8" t="str">
        <v>Nro Rto Cliente - Remitente</v>
      </c>
      <c r="B8" t="str">
        <v>Pendiente</v>
      </c>
      <c r="C8" t="str">
        <v>Campo Columna W</v>
      </c>
      <c r="D8" t="str">
        <v>Origen: Hoja 1 (Planilla Base)</v>
      </c>
    </row>
    <row r="9">
      <c r="A9" t="str">
        <v>Tipo Viaje</v>
      </c>
      <c r="B9" t="str">
        <v>(Varios elementos)</v>
      </c>
      <c r="C9" t="str">
        <v>Campo Columna F</v>
      </c>
      <c r="D9" t="str">
        <v>Origen: Hoja 1 (Planilla Base)</v>
      </c>
    </row>
    <row r="10">
      <c r="A10" t="str">
        <v>Tte Propio / Tercero</v>
      </c>
      <c r="B10" t="str">
        <v>(Todas)</v>
      </c>
      <c r="C10" t="str">
        <v>Campo Columna H</v>
      </c>
      <c r="D10" t="str">
        <v>Origen: Hoja 1 (Planilla Base)</v>
      </c>
    </row>
    <row r="11">
      <c r="A11" t="str">
        <v>Fecha Liqui Fleteros</v>
      </c>
      <c r="B11" t="str">
        <v>(Todas)</v>
      </c>
      <c r="C11" t="str">
        <v>Campo Columna C</v>
      </c>
      <c r="D11" t="str">
        <v>Origen: Hoja 1 (Planilla Base)</v>
      </c>
    </row>
    <row r="13">
      <c r="A13" t="str">
        <v>TABLA DINÁMICA DE SEGUIMIENTO</v>
      </c>
      <c r="B13" t="str">
        <v>Cuenta de Kgs Cargados</v>
      </c>
    </row>
    <row r="14">
      <c r="A14" t="str">
        <v>Cliente Contrata Servicio</v>
      </c>
      <c r="B14" t="str">
        <v>Fecha Orden de Carga</v>
      </c>
      <c r="C14" t="str">
        <v>Chofer</v>
      </c>
      <c r="D14" t="str">
        <v>Origen Carga</v>
      </c>
      <c r="E14" t="str">
        <v>Localidad Destino Mercaderia.</v>
      </c>
      <c r="F14" t="str">
        <v>Total</v>
      </c>
    </row>
    <row r="15">
      <c r="A15" t="str">
        <v>ALACAL SRL</v>
      </c>
      <c r="B15" t="str">
        <v>15/08/2026</v>
      </c>
      <c r="C15" t="str">
        <v>Conducción Propia</v>
      </c>
      <c r="D15" t="str">
        <v>Rio Cuarto</v>
      </c>
      <c r="E15" t="str">
        <v>Destino Operativo</v>
      </c>
      <c r="F15">
        <v>1</v>
      </c>
    </row>
    <row r="16">
      <c r="A16" t="str">
        <v>FIORETTI</v>
      </c>
      <c r="B16" t="str">
        <v>03/08/2026</v>
      </c>
      <c r="C16" t="str">
        <v>Moreno Mauro</v>
      </c>
      <c r="D16" t="str">
        <v>Rio Cuarto</v>
      </c>
      <c r="E16" t="str">
        <v>Mendoza</v>
      </c>
      <c r="F16">
        <v>1</v>
      </c>
    </row>
    <row r="17">
      <c r="A17" t="str">
        <v/>
      </c>
      <c r="B17" t="str">
        <v>03/08/2026</v>
      </c>
      <c r="C17" t="str">
        <v>Cejas Antonio</v>
      </c>
      <c r="D17" t="str">
        <v>Juan Jorba</v>
      </c>
      <c r="E17" t="str">
        <v>San Juan</v>
      </c>
      <c r="F17">
        <f>SUM(F11:F16)</f>
        <v>6</v>
      </c>
    </row>
    <row r="18">
      <c r="A18" t="str">
        <v/>
      </c>
      <c r="B18" t="str">
        <v>04/08/2026</v>
      </c>
      <c r="C18" t="str">
        <v>Sosa Juan</v>
      </c>
      <c r="D18" t="str">
        <v>Juan Jorba</v>
      </c>
      <c r="E18" t="str">
        <v>San Juan</v>
      </c>
      <c r="F18">
        <v>1</v>
      </c>
    </row>
    <row r="19">
      <c r="A19" t="str">
        <v/>
      </c>
      <c r="B19" t="str">
        <v>29/08/2026</v>
      </c>
      <c r="C19" t="str">
        <v>Bruni Emilio</v>
      </c>
      <c r="D19" t="str">
        <v>La Toma</v>
      </c>
      <c r="E19" t="str">
        <v>San Juan</v>
      </c>
      <c r="F19">
        <v>1</v>
      </c>
    </row>
    <row r="20">
      <c r="A20" t="str">
        <v/>
      </c>
      <c r="B20" t="str">
        <v>29/08/2026</v>
      </c>
      <c r="C20" t="str">
        <v>Moyano Esteban</v>
      </c>
      <c r="D20" t="str">
        <v>Barranquita</v>
      </c>
      <c r="E20" t="str">
        <v>San Juan</v>
      </c>
      <c r="F20">
        <v>1</v>
      </c>
    </row>
    <row r="21">
      <c r="A21" t="str">
        <v>Total general</v>
      </c>
      <c r="B21" t="str">
        <v/>
      </c>
      <c r="C21" t="str">
        <v/>
      </c>
      <c r="D21" t="str">
        <v/>
      </c>
      <c r="E21" t="str">
        <v/>
      </c>
      <c r="F21">
        <v>6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22.83203125" customWidth="1"/>
    <col min="2" max="2" width="20.83203125" customWidth="1"/>
    <col min="3" max="3" width="14.83203125" customWidth="1"/>
    <col min="4" max="4" width="12.83203125" customWidth="1"/>
    <col min="5" max="5" width="16.83203125" customWidth="1"/>
    <col min="6" max="6" width="18.83203125" customWidth="1"/>
    <col min="7" max="7" width="18.83203125" customWidth="1"/>
    <col min="8" max="8" width="18.83203125" customWidth="1"/>
    <col min="9" max="9" width="14.83203125" customWidth="1"/>
  </cols>
  <sheetData>
    <row r="1">
      <c r="A1" t="str">
        <v>Chofer</v>
      </c>
      <c r="B1" t="str">
        <v>Transporte</v>
      </c>
      <c r="C1" t="str">
        <v>Modalidad</v>
      </c>
      <c r="D1" t="str">
        <v>Viajes</v>
      </c>
      <c r="E1" t="str">
        <v>Total Toneladas</v>
      </c>
      <c r="F1" t="str">
        <v>Facturado (NG)</v>
      </c>
      <c r="G1" t="str">
        <v>Costo Fletero</v>
      </c>
      <c r="H1" t="str">
        <v>Margen Neto</v>
      </c>
      <c r="I1" t="str">
        <v>Margen %</v>
      </c>
    </row>
    <row r="2">
      <c r="A2" t="str">
        <v>Ruben Martin</v>
      </c>
      <c r="B2" t="str">
        <v>JUAN y MIGUEL</v>
      </c>
      <c r="C2" t="str">
        <v>Propio</v>
      </c>
      <c r="D2">
        <f>COUNTIF('Base de Datos'!$I$3:$I$80, A2)</f>
        <v>4</v>
      </c>
      <c r="E2">
        <f>SUMIF('Base de Datos'!$I$3:$I$80, A2, 'Base de Datos'!$AD$3:$AD$80)</f>
        <v>112.89</v>
      </c>
      <c r="F2">
        <f>SUMIF('Base de Datos'!$I$3:$I$80, A2, 'Base de Datos'!$AP$3:$AP$80)</f>
        <v>396215.19</v>
      </c>
      <c r="G2">
        <f>SUMIF('Base de Datos'!$I$3:$I$80, A2, 'Base de Datos'!$AX$3:$AX$80)</f>
        <v>0</v>
      </c>
      <c r="H2">
        <f>F2-G2</f>
        <v>396215.19</v>
      </c>
      <c r="I2">
        <f>IF(F2&gt;0,H2/F2,0)</f>
        <v>1</v>
      </c>
    </row>
    <row r="3">
      <c r="A3" t="str">
        <v>Moyano Esteban</v>
      </c>
      <c r="B3" t="str">
        <v>Ruben Eduardo</v>
      </c>
      <c r="C3" t="str">
        <v>Fletero</v>
      </c>
      <c r="D3">
        <f>COUNTIF('Base de Datos'!$I$3:$I$80, A3)</f>
        <v>2</v>
      </c>
      <c r="E3">
        <f>SUMIF('Base de Datos'!$I$3:$I$80, A3, 'Base de Datos'!$AD$3:$AD$80)</f>
        <v>71.68</v>
      </c>
      <c r="F3">
        <f>SUMIF('Base de Datos'!$I$3:$I$80, A3, 'Base de Datos'!$AP$3:$AP$80)</f>
        <v>60720</v>
      </c>
      <c r="G3">
        <f>SUMIF('Base de Datos'!$I$3:$I$80, A3, 'Base de Datos'!$AX$3:$AX$80)</f>
        <v>44528</v>
      </c>
      <c r="H3">
        <f>F3-G3</f>
        <v>16192</v>
      </c>
      <c r="I3">
        <f>IF(F3&gt;0,H3/F3,0)</f>
        <v>0.26666666666666666</v>
      </c>
    </row>
    <row r="4">
      <c r="A4" t="str">
        <v>Tosco</v>
      </c>
      <c r="B4" t="str">
        <v>JUAN y MIGUEL</v>
      </c>
      <c r="C4" t="str">
        <v>Propio</v>
      </c>
      <c r="D4">
        <f>COUNTIF('Base de Datos'!$I$3:$I$80, A4)</f>
        <v>3</v>
      </c>
      <c r="E4">
        <f>SUMIF('Base de Datos'!$I$3:$I$80, A4, 'Base de Datos'!$AD$3:$AD$80)</f>
        <v>102</v>
      </c>
      <c r="F4">
        <f>SUMIF('Base de Datos'!$I$3:$I$80, A4, 'Base de Datos'!$AP$3:$AP$80)</f>
        <v>448962.15</v>
      </c>
      <c r="G4">
        <f>SUMIF('Base de Datos'!$I$3:$I$80, A4, 'Base de Datos'!$AX$3:$AX$80)</f>
        <v>0</v>
      </c>
      <c r="H4">
        <f>F4-G4</f>
        <v>448962.15</v>
      </c>
      <c r="I4">
        <f>IF(F4&gt;0,H4/F4,0)</f>
        <v>1</v>
      </c>
    </row>
    <row r="5">
      <c r="A5" t="str">
        <v>Rivarola Jorge</v>
      </c>
      <c r="B5" t="str">
        <v>JUAN y MIGUEL</v>
      </c>
      <c r="C5" t="str">
        <v>Propio</v>
      </c>
      <c r="D5">
        <f>COUNTIF('Base de Datos'!$I$3:$I$80, A5)</f>
        <v>3</v>
      </c>
      <c r="E5">
        <f>SUMIF('Base de Datos'!$I$3:$I$80, A5, 'Base de Datos'!$AD$3:$AD$80)</f>
        <v>87.08</v>
      </c>
      <c r="F5">
        <f>SUMIF('Base de Datos'!$I$3:$I$80, A5, 'Base de Datos'!$AP$3:$AP$80)</f>
        <v>549442.45</v>
      </c>
      <c r="G5">
        <f>SUMIF('Base de Datos'!$I$3:$I$80, A5, 'Base de Datos'!$AX$3:$AX$80)</f>
        <v>65304</v>
      </c>
      <c r="H5">
        <f>F5-G5</f>
        <v>484138.45</v>
      </c>
      <c r="I5">
        <f>IF(F5&gt;0,H5/F5,0)</f>
        <v>0.8811449679579728</v>
      </c>
    </row>
    <row r="6">
      <c r="A6" t="str">
        <v>Quiroga</v>
      </c>
      <c r="B6" t="str">
        <v>JUAN y MIGUEL</v>
      </c>
      <c r="C6" t="str">
        <v>Propio</v>
      </c>
      <c r="D6">
        <f>COUNTIF('Base de Datos'!$I$3:$I$80, A6)</f>
        <v>2</v>
      </c>
      <c r="E6">
        <f>SUMIF('Base de Datos'!$I$3:$I$80, A6, 'Base de Datos'!$AD$3:$AD$80)</f>
        <v>68.46000000000001</v>
      </c>
      <c r="F6">
        <f>SUMIF('Base de Datos'!$I$3:$I$80, A6, 'Base de Datos'!$AP$3:$AP$80)</f>
        <v>291288.54000000004</v>
      </c>
      <c r="G6">
        <f>SUMIF('Base de Datos'!$I$3:$I$80, A6, 'Base de Datos'!$AX$3:$AX$80)</f>
        <v>0</v>
      </c>
      <c r="H6">
        <f>F6-G6</f>
        <v>291288.54000000004</v>
      </c>
      <c r="I6">
        <f>IF(F6&gt;0,H6/F6,0)</f>
        <v>1</v>
      </c>
    </row>
    <row r="7">
      <c r="A7" t="str">
        <v>Lopez Maximiliano</v>
      </c>
      <c r="B7" t="str">
        <v>JUAN y MIGUEL</v>
      </c>
      <c r="C7" t="str">
        <v>Propio</v>
      </c>
      <c r="D7">
        <f>COUNTIF('Base de Datos'!$I$3:$I$80, A7)</f>
        <v>5</v>
      </c>
      <c r="E7">
        <f>SUMIF('Base de Datos'!$I$3:$I$80, A7, 'Base de Datos'!$AD$3:$AD$80)</f>
        <v>158.7</v>
      </c>
      <c r="F7">
        <f>SUMIF('Base de Datos'!$I$3:$I$80, A7, 'Base de Datos'!$AP$3:$AP$80)</f>
        <v>632861.1</v>
      </c>
      <c r="G7">
        <f>SUMIF('Base de Datos'!$I$3:$I$80, A7, 'Base de Datos'!$AX$3:$AX$80)</f>
        <v>0</v>
      </c>
      <c r="H7">
        <f>F7-G7</f>
        <v>632861.1</v>
      </c>
      <c r="I7">
        <f>IF(F7&gt;0,H7/F7,0)</f>
        <v>1</v>
      </c>
    </row>
    <row r="8">
      <c r="A8" t="str">
        <v>Moreno Mauro</v>
      </c>
      <c r="B8" t="str">
        <v>JUAN y MIGUEL</v>
      </c>
      <c r="C8" t="str">
        <v>Propio</v>
      </c>
      <c r="D8">
        <f>COUNTIF('Base de Datos'!$I$3:$I$80, A8)</f>
        <v>3</v>
      </c>
      <c r="E8">
        <f>SUMIF('Base de Datos'!$I$3:$I$80, A8, 'Base de Datos'!$AD$3:$AD$80)</f>
        <v>93.58000000000001</v>
      </c>
      <c r="F8">
        <f>SUMIF('Base de Datos'!$I$3:$I$80, A8, 'Base de Datos'!$AP$3:$AP$80)</f>
        <v>274271.9</v>
      </c>
      <c r="G8">
        <f>SUMIF('Base de Datos'!$I$3:$I$80, A8, 'Base de Datos'!$AX$3:$AX$80)</f>
        <v>0</v>
      </c>
      <c r="H8">
        <f>F8-G8</f>
        <v>274271.9</v>
      </c>
      <c r="I8">
        <f>IF(F8&gt;0,H8/F8,0)</f>
        <v>1</v>
      </c>
    </row>
    <row r="9">
      <c r="A9" t="str">
        <v>Cejas Antonio</v>
      </c>
      <c r="B9" t="str">
        <v>JUAN y MIGUEL</v>
      </c>
      <c r="C9" t="str">
        <v>Propio</v>
      </c>
      <c r="D9">
        <f>COUNTIF('Base de Datos'!$I$3:$I$80, A9)</f>
        <v>3</v>
      </c>
      <c r="E9">
        <f>SUMIF('Base de Datos'!$I$3:$I$80, A9, 'Base de Datos'!$AD$3:$AD$80)</f>
        <v>100.53</v>
      </c>
      <c r="F9">
        <f>SUMIF('Base de Datos'!$I$3:$I$80, A9, 'Base de Datos'!$AP$3:$AP$80)</f>
        <v>362836</v>
      </c>
      <c r="G9">
        <f>SUMIF('Base de Datos'!$I$3:$I$80, A9, 'Base de Datos'!$AX$3:$AX$80)</f>
        <v>0</v>
      </c>
      <c r="H9">
        <f>F9-G9</f>
        <v>362836</v>
      </c>
      <c r="I9">
        <f>IF(F9&gt;0,H9/F9,0)</f>
        <v>1</v>
      </c>
    </row>
    <row r="10">
      <c r="A10" t="str">
        <v>Ledesma Jonatan</v>
      </c>
      <c r="B10" t="str">
        <v>JUAN y MIGUEL</v>
      </c>
      <c r="C10" t="str">
        <v>Propio</v>
      </c>
      <c r="D10">
        <f>COUNTIF('Base de Datos'!$I$3:$I$80, A10)</f>
        <v>1</v>
      </c>
      <c r="E10">
        <f>SUMIF('Base de Datos'!$I$3:$I$80, A10, 'Base de Datos'!$AD$3:$AD$80)</f>
        <v>27.68</v>
      </c>
      <c r="F10">
        <f>SUMIF('Base de Datos'!$I$3:$I$80, A10, 'Base de Datos'!$AP$3:$AP$80)</f>
        <v>213544.18</v>
      </c>
      <c r="G10">
        <f>SUMIF('Base de Datos'!$I$3:$I$80, A10, 'Base de Datos'!$AX$3:$AX$80)</f>
        <v>0</v>
      </c>
      <c r="H10">
        <f>F10-G10</f>
        <v>213544.18</v>
      </c>
      <c r="I10">
        <f>IF(F10&gt;0,H10/F10,0)</f>
        <v>1</v>
      </c>
    </row>
    <row r="11">
      <c r="A11" t="str">
        <v>Bruni Emilio</v>
      </c>
      <c r="B11" t="str">
        <v>JUAN y MIGUEL</v>
      </c>
      <c r="C11" t="str">
        <v>Propio</v>
      </c>
      <c r="D11">
        <f>COUNTIF('Base de Datos'!$I$3:$I$80, A11)</f>
        <v>3</v>
      </c>
      <c r="E11">
        <f>SUMIF('Base de Datos'!$I$3:$I$80, A11, 'Base de Datos'!$AD$3:$AD$80)</f>
        <v>97.58000000000001</v>
      </c>
      <c r="F11">
        <f>SUMIF('Base de Datos'!$I$3:$I$80, A11, 'Base de Datos'!$AP$3:$AP$80)</f>
        <v>274779.63</v>
      </c>
      <c r="G11">
        <f>SUMIF('Base de Datos'!$I$3:$I$80, A11, 'Base de Datos'!$AX$3:$AX$80)</f>
        <v>0</v>
      </c>
      <c r="H11">
        <f>F11-G11</f>
        <v>274779.63</v>
      </c>
      <c r="I11">
        <f>IF(F11&gt;0,H11/F11,0)</f>
        <v>1</v>
      </c>
    </row>
    <row r="12">
      <c r="A12" t="str">
        <v>Lucero Mauricio</v>
      </c>
      <c r="B12" t="str">
        <v>Lucero</v>
      </c>
      <c r="C12" t="str">
        <v>Fletero</v>
      </c>
      <c r="D12">
        <f>COUNTIF('Base de Datos'!$I$3:$I$80, A12)</f>
        <v>3</v>
      </c>
      <c r="E12">
        <f>SUMIF('Base de Datos'!$I$3:$I$80, A12, 'Base de Datos'!$AD$3:$AD$80)</f>
        <v>93.62</v>
      </c>
      <c r="F12">
        <f>SUMIF('Base de Datos'!$I$3:$I$80, A12, 'Base de Datos'!$AP$3:$AP$80)</f>
        <v>332564.02</v>
      </c>
      <c r="G12">
        <f>SUMIF('Base de Datos'!$I$3:$I$80, A12, 'Base de Datos'!$AX$3:$AX$80)</f>
        <v>129549.59999999999</v>
      </c>
      <c r="H12">
        <f>F12-G12</f>
        <v>203014.42</v>
      </c>
      <c r="I12">
        <f>IF(F12&gt;0,H12/F12,0)</f>
        <v>0.610452146927981</v>
      </c>
    </row>
    <row r="13">
      <c r="A13" t="str">
        <v>Martinez Nestor</v>
      </c>
      <c r="B13" t="str">
        <v>Martinez</v>
      </c>
      <c r="C13" t="str">
        <v>Fletero</v>
      </c>
      <c r="D13">
        <f>COUNTIF('Base de Datos'!$I$3:$I$80, A13)</f>
        <v>2</v>
      </c>
      <c r="E13">
        <f>SUMIF('Base de Datos'!$I$3:$I$80, A13, 'Base de Datos'!$AD$3:$AD$80)</f>
        <v>67.46000000000001</v>
      </c>
      <c r="F13">
        <f>SUMIF('Base de Datos'!$I$3:$I$80, A13, 'Base de Datos'!$AP$3:$AP$80)</f>
        <v>303422.4</v>
      </c>
      <c r="G13">
        <f>SUMIF('Base de Datos'!$I$3:$I$80, A13, 'Base de Datos'!$AX$3:$AX$80)</f>
        <v>110788.07</v>
      </c>
      <c r="H13">
        <f>F13-G13</f>
        <v>192634.33000000002</v>
      </c>
      <c r="I13">
        <f>IF(F13&gt;0,H13/F13,0)</f>
        <v>0.6348718156602808</v>
      </c>
    </row>
    <row r="14">
      <c r="A14" t="str">
        <v>Sosa Juan</v>
      </c>
      <c r="B14" t="str">
        <v>JUAN y MIGUEL</v>
      </c>
      <c r="C14" t="str">
        <v>Propio</v>
      </c>
      <c r="D14">
        <f>COUNTIF('Base de Datos'!$I$3:$I$80, A14)</f>
        <v>2</v>
      </c>
      <c r="E14">
        <f>SUMIF('Base de Datos'!$I$3:$I$80, A14, 'Base de Datos'!$AD$3:$AD$80)</f>
        <v>66.48</v>
      </c>
      <c r="F14">
        <f>SUMIF('Base de Datos'!$I$3:$I$80, A14, 'Base de Datos'!$AP$3:$AP$80)</f>
        <v>139730</v>
      </c>
      <c r="G14">
        <f>SUMIF('Base de Datos'!$I$3:$I$80, A14, 'Base de Datos'!$AX$3:$AX$80)</f>
        <v>0</v>
      </c>
      <c r="H14">
        <f>F14-G14</f>
        <v>139730</v>
      </c>
      <c r="I14">
        <f>IF(F14&gt;0,H14/F14,0)</f>
        <v>1</v>
      </c>
    </row>
    <row r="15">
      <c r="A15" t="str">
        <v>Ledesma</v>
      </c>
      <c r="B15" t="str">
        <v>JUAN y MIGUEL</v>
      </c>
      <c r="C15" t="str">
        <v>Propio</v>
      </c>
      <c r="D15">
        <f>COUNTIF('Base de Datos'!$I$3:$I$80, A15)</f>
        <v>2</v>
      </c>
      <c r="E15">
        <f>SUMIF('Base de Datos'!$I$3:$I$80, A15, 'Base de Datos'!$AD$3:$AD$80)</f>
        <v>49.86</v>
      </c>
      <c r="F15">
        <f>SUMIF('Base de Datos'!$I$3:$I$80, A15, 'Base de Datos'!$AP$3:$AP$80)</f>
        <v>430084.67</v>
      </c>
      <c r="G15">
        <f>SUMIF('Base de Datos'!$I$3:$I$80, A15, 'Base de Datos'!$AX$3:$AX$80)</f>
        <v>0</v>
      </c>
      <c r="H15">
        <f>F15-G15</f>
        <v>430084.67</v>
      </c>
      <c r="I15">
        <f>IF(F15&gt;0,H15/F15,0)</f>
        <v>1</v>
      </c>
    </row>
    <row r="16">
      <c r="A16" t="str">
        <v>Barrilin Roberto</v>
      </c>
      <c r="B16" t="str">
        <v>Barrilin Roberto</v>
      </c>
      <c r="C16" t="str">
        <v>Fletero</v>
      </c>
      <c r="D16">
        <f>COUNTIF('Base de Datos'!$I$3:$I$80, A16)</f>
        <v>2</v>
      </c>
      <c r="E16">
        <f>SUMIF('Base de Datos'!$I$3:$I$80, A16, 'Base de Datos'!$AD$3:$AD$80)</f>
        <v>65.38</v>
      </c>
      <c r="F16">
        <f>SUMIF('Base de Datos'!$I$3:$I$80, A16, 'Base de Datos'!$AP$3:$AP$80)</f>
        <v>195817.48</v>
      </c>
      <c r="G16">
        <f>SUMIF('Base de Datos'!$I$3:$I$80, A16, 'Base de Datos'!$AX$3:$AX$80)</f>
        <v>136300.11</v>
      </c>
      <c r="H16">
        <f>F16-G16</f>
        <v>59517.369999999995</v>
      </c>
      <c r="I16">
        <f>IF(F16&gt;0,H16/F16,0)</f>
        <v>0.3039430902695714</v>
      </c>
    </row>
    <row r="17">
      <c r="A17" t="str">
        <v>Galvan</v>
      </c>
      <c r="B17" t="str">
        <v>Galvan</v>
      </c>
      <c r="C17" t="str">
        <v>Fletero</v>
      </c>
      <c r="D17">
        <f>COUNTIF('Base de Datos'!$I$3:$I$80, A17)</f>
        <v>5</v>
      </c>
      <c r="E17">
        <f>SUMIF('Base de Datos'!$I$3:$I$80, A17, 'Base de Datos'!$AD$3:$AD$80)</f>
        <v>134.17000000000002</v>
      </c>
      <c r="F17">
        <f>SUMIF('Base de Datos'!$I$3:$I$80, A17, 'Base de Datos'!$AP$3:$AP$80)</f>
        <v>942909.5700000001</v>
      </c>
      <c r="G17">
        <f>SUMIF('Base de Datos'!$I$3:$I$80, A17, 'Base de Datos'!$AX$3:$AX$80)</f>
        <v>757869.93</v>
      </c>
      <c r="H17">
        <f>F17-G17</f>
        <v>185039.63999999998</v>
      </c>
      <c r="I17">
        <f>IF(F17&gt;0,H17/F17,0)</f>
        <v>0.19624325161955877</v>
      </c>
    </row>
    <row r="18">
      <c r="A18" t="str">
        <v>Alquiler Batea</v>
      </c>
      <c r="B18" t="str">
        <v>Barrilin Roberto</v>
      </c>
      <c r="C18" t="str">
        <v>Fletero</v>
      </c>
      <c r="D18">
        <f>COUNTIF('Base de Datos'!$I$3:$I$80, A18)</f>
        <v>3</v>
      </c>
      <c r="E18">
        <f>SUMIF('Base de Datos'!$I$3:$I$80, A18, 'Base de Datos'!$AD$3:$AD$80)</f>
        <v>3</v>
      </c>
      <c r="F18">
        <f>SUMIF('Base de Datos'!$I$3:$I$80, A18, 'Base de Datos'!$AP$3:$AP$80)</f>
        <v>18000</v>
      </c>
      <c r="G18">
        <f>SUMIF('Base de Datos'!$I$3:$I$80, A18, 'Base de Datos'!$AX$3:$AX$80)</f>
        <v>0</v>
      </c>
      <c r="H18">
        <f>F18-G18</f>
        <v>18000</v>
      </c>
      <c r="I18">
        <f>IF(F18&gt;0,H18/F18,0)</f>
        <v>1</v>
      </c>
    </row>
    <row r="19">
      <c r="A19" t="str">
        <v>Conducción Propia</v>
      </c>
      <c r="B19" t="str">
        <v>JUAN y MIGUEL</v>
      </c>
      <c r="C19" t="str">
        <v>Propio</v>
      </c>
      <c r="D19">
        <f>COUNTIF('Base de Datos'!$I$3:$I$80, A19)</f>
        <v>30</v>
      </c>
      <c r="E19">
        <f>SUMIF('Base de Datos'!$I$3:$I$80, A19, 'Base de Datos'!$AD$3:$AD$80)</f>
        <v>4097.419999999999</v>
      </c>
      <c r="F19">
        <f>SUMIF('Base de Datos'!$I$3:$I$80, A19, 'Base de Datos'!$AP$3:$AP$80)</f>
        <v>17433987.779999997</v>
      </c>
      <c r="G19">
        <f>SUMIF('Base de Datos'!$I$3:$I$80, A19, 'Base de Datos'!$AX$3:$AX$80)</f>
        <v>0</v>
      </c>
      <c r="H19">
        <f>F19-G19</f>
        <v>17433987.779999997</v>
      </c>
      <c r="I19">
        <f>IF(F19&gt;0,H19/F19,0)</f>
        <v>1</v>
      </c>
    </row>
    <row r="20">
      <c r="A20" t="str">
        <v>TOTALES GENERALES</v>
      </c>
      <c r="B20" t="str">
        <v/>
      </c>
      <c r="C20" t="str">
        <v/>
      </c>
      <c r="D20">
        <f>SUM(D2:D19)</f>
        <v>78</v>
      </c>
      <c r="E20">
        <f>SUM(E2:E19)</f>
        <v>5497.570000000001</v>
      </c>
      <c r="F20">
        <f>SUM(F2:F19)</f>
        <v>23301437.06</v>
      </c>
      <c r="G20">
        <f>SUM(G2:G19)</f>
        <v>1244339.71</v>
      </c>
      <c r="H20">
        <f>SUM(H2:H19)</f>
        <v>22057097.349999998</v>
      </c>
      <c r="I20">
        <f>IF(F20&gt;0,H20/F20,0)</f>
        <v>0.9465981558649842</v>
      </c>
    </row>
  </sheetData>
  <ignoredErrors>
    <ignoredError numberStoredAsText="1" sqref="A1:I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8.83203125" customWidth="1"/>
    <col min="2" max="2" width="16.83203125" customWidth="1"/>
    <col min="3" max="3" width="18.83203125" customWidth="1"/>
    <col min="4" max="4" width="20.83203125" customWidth="1"/>
    <col min="5" max="5" width="20.83203125" customWidth="1"/>
  </cols>
  <sheetData>
    <row r="1">
      <c r="A1" t="str">
        <v>Cliente Contrata Servicio</v>
      </c>
      <c r="B1" t="str">
        <v>Cantidad Viajes</v>
      </c>
      <c r="C1" t="str">
        <v>Total Toneladas</v>
      </c>
      <c r="D1" t="str">
        <v>Facturación Neta</v>
      </c>
      <c r="E1" t="str">
        <v>Margen Generado</v>
      </c>
    </row>
    <row r="2">
      <c r="A2" t="str">
        <v>ALACAL SRL</v>
      </c>
      <c r="B2">
        <f>COUNTIF('Base de Datos'!$L$3:$L$80, A2)</f>
        <v>10</v>
      </c>
      <c r="C2">
        <f>SUMIF('Base de Datos'!$L$3:$L$80, A2, 'Base de Datos'!$AD$3:$AD$80)</f>
        <v>551.6200000000001</v>
      </c>
      <c r="D2">
        <f>SUMIF('Base de Datos'!$L$3:$L$80, A2, 'Base de Datos'!$AP$3:$AP$80)</f>
        <v>1932150</v>
      </c>
      <c r="E2">
        <f>SUMIF('Base de Datos'!$L$3:$L$80, A2, 'Base de Datos'!$AZ$3:$AZ$80)</f>
        <v>1814683.2</v>
      </c>
    </row>
    <row r="3">
      <c r="A3" t="str">
        <v>RONATA</v>
      </c>
      <c r="B3">
        <f>COUNTIF('Base de Datos'!$L$3:$L$80, A3)</f>
        <v>36</v>
      </c>
      <c r="C3">
        <f>SUMIF('Base de Datos'!$L$3:$L$80, A3, 'Base de Datos'!$AD$3:$AD$80)</f>
        <v>3559.2999999999997</v>
      </c>
      <c r="D3">
        <f>SUMIF('Base de Datos'!$L$3:$L$80, A3, 'Base de Datos'!$AP$3:$AP$80)</f>
        <v>15830045.059999999</v>
      </c>
      <c r="E3">
        <f>SUMIF('Base de Datos'!$L$3:$L$80, A3, 'Base de Datos'!$AZ$3:$AZ$80)</f>
        <v>14790891.2</v>
      </c>
    </row>
    <row r="4">
      <c r="A4" t="str">
        <v>ABIC</v>
      </c>
      <c r="B4">
        <f>COUNTIF('Base de Datos'!$L$3:$L$80, A4)</f>
        <v>6</v>
      </c>
      <c r="C4">
        <f>SUMIF('Base de Datos'!$L$3:$L$80, A4, 'Base de Datos'!$AD$3:$AD$80)</f>
        <v>565.5600000000001</v>
      </c>
      <c r="D4">
        <f>SUMIF('Base de Datos'!$L$3:$L$80, A4, 'Base de Datos'!$AP$3:$AP$80)</f>
        <v>2507024</v>
      </c>
      <c r="E4">
        <f>SUMIF('Base de Datos'!$L$3:$L$80, A4, 'Base de Datos'!$AZ$3:$AZ$80)</f>
        <v>2507024</v>
      </c>
    </row>
    <row r="5">
      <c r="A5" t="str">
        <v>FIORETTI</v>
      </c>
      <c r="B5">
        <f>COUNTIF('Base de Datos'!$L$3:$L$80, A5)</f>
        <v>5</v>
      </c>
      <c r="C5">
        <f>SUMIF('Base de Datos'!$L$3:$L$80, A5, 'Base de Datos'!$AD$3:$AD$80)</f>
        <v>167.62</v>
      </c>
      <c r="D5">
        <f>SUMIF('Base de Datos'!$L$3:$L$80, A5, 'Base de Datos'!$AP$3:$AP$80)</f>
        <v>0</v>
      </c>
      <c r="E5">
        <f>SUMIF('Base de Datos'!$L$3:$L$80, A5, 'Base de Datos'!$AZ$3:$AZ$80)</f>
        <v>0</v>
      </c>
    </row>
    <row r="6">
      <c r="A6" t="str">
        <v>PUCARA</v>
      </c>
      <c r="B6">
        <f>COUNTIF('Base de Datos'!$L$3:$L$80, A6)</f>
        <v>2</v>
      </c>
      <c r="C6">
        <f>SUMIF('Base de Datos'!$L$3:$L$80, A6, 'Base de Datos'!$AD$3:$AD$80)</f>
        <v>108.57</v>
      </c>
      <c r="D6">
        <f>SUMIF('Base de Datos'!$L$3:$L$80, A6, 'Base de Datos'!$AP$3:$AP$80)</f>
        <v>478325</v>
      </c>
      <c r="E6">
        <f>SUMIF('Base de Datos'!$L$3:$L$80, A6, 'Base de Datos'!$AZ$3:$AZ$80)</f>
        <v>467319.25</v>
      </c>
    </row>
    <row r="7">
      <c r="A7" t="str">
        <v>GRUPO CKOSS SRL</v>
      </c>
      <c r="B7">
        <f>COUNTIF('Base de Datos'!$L$3:$L$80, A7)</f>
        <v>1</v>
      </c>
      <c r="C7">
        <f>SUMIF('Base de Datos'!$L$3:$L$80, A7, 'Base de Datos'!$AD$3:$AD$80)</f>
        <v>33.62</v>
      </c>
      <c r="D7">
        <f>SUMIF('Base de Datos'!$L$3:$L$80, A7, 'Base de Datos'!$AP$3:$AP$80)</f>
        <v>158014</v>
      </c>
      <c r="E7">
        <f>SUMIF('Base de Datos'!$L$3:$L$80, A7, 'Base de Datos'!$AZ$3:$AZ$80)</f>
        <v>158014</v>
      </c>
    </row>
    <row r="8">
      <c r="A8" t="str">
        <v>HECTOR A BERTONE</v>
      </c>
      <c r="B8">
        <f>COUNTIF('Base de Datos'!$L$3:$L$80, A8)</f>
        <v>3</v>
      </c>
      <c r="C8">
        <f>SUMIF('Base de Datos'!$L$3:$L$80, A8, 'Base de Datos'!$AD$3:$AD$80)</f>
        <v>105.82</v>
      </c>
      <c r="D8">
        <f>SUMIF('Base de Datos'!$L$3:$L$80, A8, 'Base de Datos'!$AP$3:$AP$80)</f>
        <v>512876</v>
      </c>
      <c r="E8">
        <f>SUMIF('Base de Datos'!$L$3:$L$80, A8, 'Base de Datos'!$AZ$3:$AZ$80)</f>
        <v>512876</v>
      </c>
    </row>
    <row r="9">
      <c r="A9" t="str">
        <v>BRESSAN</v>
      </c>
      <c r="B9">
        <f>COUNTIF('Base de Datos'!$L$3:$L$80, A9)</f>
        <v>1</v>
      </c>
      <c r="C9">
        <f>SUMIF('Base de Datos'!$L$3:$L$80, A9, 'Base de Datos'!$AD$3:$AD$80)</f>
        <v>26.26</v>
      </c>
      <c r="D9">
        <f>SUMIF('Base de Datos'!$L$3:$L$80, A9, 'Base de Datos'!$AP$3:$AP$80)</f>
        <v>118170</v>
      </c>
      <c r="E9">
        <f>SUMIF('Base de Datos'!$L$3:$L$80, A9, 'Base de Datos'!$AZ$3:$AZ$80)</f>
        <v>118170</v>
      </c>
    </row>
    <row r="10">
      <c r="A10" t="str">
        <v>GRANJA SAN JUAN</v>
      </c>
      <c r="B10">
        <f>COUNTIF('Base de Datos'!$L$3:$L$80, A10)</f>
        <v>3</v>
      </c>
      <c r="C10">
        <f>SUMIF('Base de Datos'!$L$3:$L$80, A10, 'Base de Datos'!$AD$3:$AD$80)</f>
        <v>289.44</v>
      </c>
      <c r="D10">
        <f>SUMIF('Base de Datos'!$L$3:$L$80, A10, 'Base de Datos'!$AP$3:$AP$80)</f>
        <v>1248840</v>
      </c>
      <c r="E10">
        <f>SUMIF('Base de Datos'!$L$3:$L$80, A10, 'Base de Datos'!$AZ$3:$AZ$80)</f>
        <v>1237430.7</v>
      </c>
    </row>
    <row r="11">
      <c r="A11" t="str">
        <v>TRANSPORTE JOSE CARLOS SRL</v>
      </c>
      <c r="B11">
        <f>COUNTIF('Base de Datos'!$L$3:$L$80, A11)</f>
        <v>2</v>
      </c>
      <c r="C11">
        <f>SUMIF('Base de Datos'!$L$3:$L$80, A11, 'Base de Datos'!$AD$3:$AD$80)</f>
        <v>46.99</v>
      </c>
      <c r="D11">
        <f>SUMIF('Base de Datos'!$L$3:$L$80, A11, 'Base de Datos'!$AP$3:$AP$80)</f>
        <v>197333</v>
      </c>
      <c r="E11">
        <f>SUMIF('Base de Datos'!$L$3:$L$80, A11, 'Base de Datos'!$AZ$3:$AZ$80)</f>
        <v>197333</v>
      </c>
    </row>
    <row r="12">
      <c r="A12" t="str">
        <v>GLOBE</v>
      </c>
      <c r="B12">
        <f>COUNTIF('Base de Datos'!$L$3:$L$80, A12)</f>
        <v>1</v>
      </c>
      <c r="C12">
        <f>SUMIF('Base de Datos'!$L$3:$L$80, A12, 'Base de Datos'!$AD$3:$AD$80)</f>
        <v>18.14</v>
      </c>
      <c r="D12">
        <f>SUMIF('Base de Datos'!$L$3:$L$80, A12, 'Base de Datos'!$AP$3:$AP$80)</f>
        <v>208610</v>
      </c>
      <c r="E12">
        <f>SUMIF('Base de Datos'!$L$3:$L$80, A12, 'Base de Datos'!$AZ$3:$AZ$80)</f>
        <v>143306</v>
      </c>
    </row>
    <row r="13">
      <c r="A13" t="str">
        <v>BARRILIN ROBERTO</v>
      </c>
      <c r="B13">
        <f>COUNTIF('Base de Datos'!$L$3:$L$80, A13)</f>
        <v>1</v>
      </c>
      <c r="C13">
        <f>SUMIF('Base de Datos'!$L$3:$L$80, A13, 'Base de Datos'!$AD$3:$AD$80)</f>
        <v>1</v>
      </c>
      <c r="D13">
        <f>SUMIF('Base de Datos'!$L$3:$L$80, A13, 'Base de Datos'!$AP$3:$AP$80)</f>
        <v>6000</v>
      </c>
      <c r="E13">
        <f>SUMIF('Base de Datos'!$L$3:$L$80, A13, 'Base de Datos'!$AZ$3:$AZ$80)</f>
        <v>6000</v>
      </c>
    </row>
    <row r="14">
      <c r="A14" t="str">
        <v>LUCERO CESAR MAURICIO</v>
      </c>
      <c r="B14">
        <f>COUNTIF('Base de Datos'!$L$3:$L$80, A14)</f>
        <v>1</v>
      </c>
      <c r="C14">
        <f>SUMIF('Base de Datos'!$L$3:$L$80, A14, 'Base de Datos'!$AD$3:$AD$80)</f>
        <v>1</v>
      </c>
      <c r="D14">
        <f>SUMIF('Base de Datos'!$L$3:$L$80, A14, 'Base de Datos'!$AP$3:$AP$80)</f>
        <v>6000</v>
      </c>
      <c r="E14">
        <f>SUMIF('Base de Datos'!$L$3:$L$80, A14, 'Base de Datos'!$AZ$3:$AZ$80)</f>
        <v>6000</v>
      </c>
    </row>
    <row r="15">
      <c r="A15" t="str">
        <v>MARTINEZ NESTOR JABIER</v>
      </c>
      <c r="B15">
        <f>COUNTIF('Base de Datos'!$L$3:$L$80, A15)</f>
        <v>1</v>
      </c>
      <c r="C15">
        <f>SUMIF('Base de Datos'!$L$3:$L$80, A15, 'Base de Datos'!$AD$3:$AD$80)</f>
        <v>1</v>
      </c>
      <c r="D15">
        <f>SUMIF('Base de Datos'!$L$3:$L$80, A15, 'Base de Datos'!$AP$3:$AP$80)</f>
        <v>6000</v>
      </c>
      <c r="E15">
        <f>SUMIF('Base de Datos'!$L$3:$L$80, A15, 'Base de Datos'!$AZ$3:$AZ$80)</f>
        <v>6000</v>
      </c>
    </row>
    <row r="16">
      <c r="A16" t="str">
        <v>RUBEN EDUARDO EZEQUIEL</v>
      </c>
      <c r="B16">
        <f>COUNTIF('Base de Datos'!$L$3:$L$80, A16)</f>
        <v>1</v>
      </c>
      <c r="C16">
        <f>SUMIF('Base de Datos'!$L$3:$L$80, A16, 'Base de Datos'!$AD$3:$AD$80)</f>
        <v>1.41</v>
      </c>
      <c r="D16">
        <f>SUMIF('Base de Datos'!$L$3:$L$80, A16, 'Base de Datos'!$AP$3:$AP$80)</f>
        <v>6000</v>
      </c>
      <c r="E16">
        <f>SUMIF('Base de Datos'!$L$3:$L$80, A16, 'Base de Datos'!$AZ$3:$AZ$80)</f>
        <v>6000</v>
      </c>
    </row>
    <row r="17">
      <c r="A17" t="str">
        <v>RUBEN EMANUEL ALEJANDRO</v>
      </c>
      <c r="B17">
        <f>COUNTIF('Base de Datos'!$L$3:$L$80, A17)</f>
        <v>1</v>
      </c>
      <c r="C17">
        <f>SUMIF('Base de Datos'!$L$3:$L$80, A17, 'Base de Datos'!$AD$3:$AD$80)</f>
        <v>1.41</v>
      </c>
      <c r="D17">
        <f>SUMIF('Base de Datos'!$L$3:$L$80, A17, 'Base de Datos'!$AP$3:$AP$80)</f>
        <v>6000</v>
      </c>
      <c r="E17">
        <f>SUMIF('Base de Datos'!$L$3:$L$80, A17, 'Base de Datos'!$AZ$3:$AZ$80)</f>
        <v>6000</v>
      </c>
    </row>
    <row r="18">
      <c r="A18" t="str">
        <v>RUBEN EDUARDO JOSE</v>
      </c>
      <c r="B18">
        <f>COUNTIF('Base de Datos'!$L$3:$L$80, A18)</f>
        <v>1</v>
      </c>
      <c r="C18">
        <f>SUMIF('Base de Datos'!$L$3:$L$80, A18, 'Base de Datos'!$AD$3:$AD$80)</f>
        <v>1.41</v>
      </c>
      <c r="D18">
        <f>SUMIF('Base de Datos'!$L$3:$L$80, A18, 'Base de Datos'!$AP$3:$AP$80)</f>
        <v>6000</v>
      </c>
      <c r="E18">
        <f>SUMIF('Base de Datos'!$L$3:$L$80, A18, 'Base de Datos'!$AZ$3:$AZ$80)</f>
        <v>6000</v>
      </c>
    </row>
    <row r="19">
      <c r="A19" t="str">
        <v>GALEAZZI FRANCO MAURICIO</v>
      </c>
      <c r="B19">
        <f>COUNTIF('Base de Datos'!$L$3:$L$80, A19)</f>
        <v>1</v>
      </c>
      <c r="C19">
        <f>SUMIF('Base de Datos'!$L$3:$L$80, A19, 'Base de Datos'!$AD$3:$AD$80)</f>
        <v>17.4</v>
      </c>
      <c r="D19">
        <f>SUMIF('Base de Datos'!$L$3:$L$80, A19, 'Base de Datos'!$AP$3:$AP$80)</f>
        <v>74050</v>
      </c>
      <c r="E19">
        <f>SUMIF('Base de Datos'!$L$3:$L$80, A19, 'Base de Datos'!$AZ$3:$AZ$80)</f>
        <v>74050</v>
      </c>
    </row>
    <row r="20">
      <c r="A20" t="str">
        <v>DALMASO - RONATA</v>
      </c>
      <c r="B20">
        <f>COUNTIF('Base de Datos'!$L$3:$L$80, A20)</f>
        <v>1</v>
      </c>
      <c r="C20">
        <f>SUMIF('Base de Datos'!$L$3:$L$80, A20, 'Base de Datos'!$AD$3:$AD$80)</f>
        <v>0</v>
      </c>
      <c r="D20">
        <f>SUMIF('Base de Datos'!$L$3:$L$80, A20, 'Base de Datos'!$AP$3:$AP$80)</f>
        <v>0</v>
      </c>
      <c r="E20">
        <f>SUMIF('Base de Datos'!$L$3:$L$80, A20, 'Base de Datos'!$AZ$3:$AZ$80)</f>
        <v>0</v>
      </c>
    </row>
    <row r="21">
      <c r="A21" t="str">
        <v>TOTALES GENERALES</v>
      </c>
      <c r="B21">
        <f>SUM(B2:B20)</f>
        <v>78</v>
      </c>
      <c r="C21">
        <f>SUM(C2:C20)</f>
        <v>5497.570000000001</v>
      </c>
      <c r="D21">
        <f>SUM(D2:D20)</f>
        <v>23301437.06</v>
      </c>
      <c r="E21">
        <f>SUM(E2:E20)</f>
        <v>22057097.349999998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cols>
    <col min="1" max="1" width="30.83203125" customWidth="1"/>
    <col min="2" max="2" width="28.83203125" customWidth="1"/>
    <col min="3" max="3" width="18.83203125" customWidth="1"/>
    <col min="4" max="4" width="18.83203125" customWidth="1"/>
    <col min="5" max="5" width="20.83203125" customWidth="1"/>
    <col min="6" max="6" width="22.83203125" customWidth="1"/>
  </cols>
  <sheetData>
    <row r="1">
      <c r="A1" t="str">
        <v>CONTROL DE FACTURAS EMITIDAS - EJERCICIO 2026 (INFORME ADMINISTRATIVO)</v>
      </c>
    </row>
    <row r="2">
      <c r="A2" t="str">
        <v>Reporte de consolidación del total facturado por cliente para el punto de venta 12. Fuente de información: Hoja 1 ('Base de Datos'). Fórmulas 100% funcionales vinculadas a los sectores operativos y comerciales.</v>
      </c>
    </row>
    <row r="4">
      <c r="A4" t="str">
        <v>PARÁMETROS PRIMARIOS DE CONTROL (Delimitación del Reporte)</v>
      </c>
      <c r="B4" t="str">
        <v>VALOR / CONDICIÓN</v>
      </c>
      <c r="C4" t="str">
        <v>SECTOR / CAMPO DE ORIGEN (HOJA 1 'Base de Datos')</v>
      </c>
      <c r="D4" t="str">
        <v>OBSERVACIONES</v>
      </c>
    </row>
    <row r="5">
      <c r="A5" t="str">
        <v>Ejercicio</v>
      </c>
      <c r="B5" t="str">
        <v>2026</v>
      </c>
      <c r="C5" t="str">
        <v>Sector 1 (Datos Generales) - Columna B</v>
      </c>
      <c r="D5" t="str">
        <v>Período fiscal anual analizado</v>
      </c>
    </row>
    <row r="6">
      <c r="A6" t="str">
        <v>Fecha Fac. BSA</v>
      </c>
      <c r="B6" t="str">
        <v>(Varios elementos)</v>
      </c>
      <c r="C6" t="str">
        <v>Sector 6 (Facturación y Ventas) - Columna AK</v>
      </c>
      <c r="D6" t="str">
        <v>Múltiples comprobantes emitidos en el período</v>
      </c>
    </row>
    <row r="7">
      <c r="A7" t="str">
        <v>Tipo Viaje</v>
      </c>
      <c r="B7" t="str">
        <v>(Varios elementos)</v>
      </c>
      <c r="C7" t="str">
        <v>Sector 2 (Transporte y Chofer) - Columna K</v>
      </c>
      <c r="D7" t="str">
        <v>Clasificación operativa del servicio</v>
      </c>
    </row>
    <row r="8">
      <c r="A8" t="str">
        <v>Mes - Año Operativo</v>
      </c>
      <c r="B8" t="str">
        <v>(Todas)</v>
      </c>
      <c r="C8" t="str">
        <v>Sector 1 (Datos Generales) - Columna E</v>
      </c>
      <c r="D8" t="str">
        <v>Cta Contable 430001 (Mes operativo orden)</v>
      </c>
    </row>
    <row r="9">
      <c r="A9" t="str">
        <v>FAC</v>
      </c>
      <c r="B9" t="str">
        <v>(Todas)</v>
      </c>
      <c r="C9" t="str">
        <v>Sector 6 (Facturación y Ventas) - Columna AJ</v>
      </c>
      <c r="D9" t="str">
        <v>Cta Contable 430003 (Facturas electrónicas emitidas)</v>
      </c>
    </row>
    <row r="11">
      <c r="A11" t="str">
        <v>DEBE. (Agrupación por Cliente Contrata Servicio)</v>
      </c>
      <c r="B11" t="str">
        <v/>
      </c>
      <c r="C11" t="str">
        <v/>
      </c>
    </row>
    <row r="12">
      <c r="A12" t="str">
        <v>Cliente Contrata Servicio</v>
      </c>
      <c r="B12" t="str">
        <v>Fecha Liqui Fleteros</v>
      </c>
      <c r="C12" t="str">
        <v>Total Facturado c/IVA</v>
      </c>
    </row>
    <row r="13">
      <c r="A13" t="str">
        <v>RONATA</v>
      </c>
      <c r="B13" t="str">
        <f>IFERROR(INDEX('Base de Datos'!$D$3:$D$80, MATCH(A13, 'Base de Datos'!$L$3:$L$80, 0)), "")</f>
        <v>ago-26</v>
      </c>
      <c r="C13">
        <f>SUMIF('Base de Datos'!$L$3:$L$80, A13, 'Base de Datos'!$AR$3:$AR$80)</f>
        <v>19154354.519999996</v>
      </c>
    </row>
    <row r="14">
      <c r="A14" t="str">
        <v>ABIC</v>
      </c>
      <c r="B14" t="str">
        <f>IFERROR(INDEX('Base de Datos'!$D$3:$D$80, MATCH(A14, 'Base de Datos'!$L$3:$L$80, 0)), "")</f>
        <v>ago-26</v>
      </c>
      <c r="C14">
        <f>SUMIF('Base de Datos'!$L$3:$L$80, A14, 'Base de Datos'!$AR$3:$AR$80)</f>
        <v>3033499.04</v>
      </c>
    </row>
    <row r="15">
      <c r="A15" t="str">
        <v>ALACAL SRL</v>
      </c>
      <c r="B15" t="str">
        <f>IFERROR(INDEX('Base de Datos'!$D$3:$D$80, MATCH(A15, 'Base de Datos'!$L$3:$L$80, 0)), "")</f>
        <v>ago-26</v>
      </c>
      <c r="C15">
        <f>SUMIF('Base de Datos'!$L$3:$L$80, A15, 'Base de Datos'!$AR$3:$AR$80)</f>
        <v>2337901.5</v>
      </c>
    </row>
    <row r="16">
      <c r="A16" t="str">
        <v>GRANJA SAN JUAN</v>
      </c>
      <c r="B16" t="str">
        <f>IFERROR(INDEX('Base de Datos'!$D$3:$D$80, MATCH(A16, 'Base de Datos'!$L$3:$L$80, 0)), "")</f>
        <v>ago-26</v>
      </c>
      <c r="C16">
        <f>SUMIF('Base de Datos'!$L$3:$L$80, A16, 'Base de Datos'!$AR$3:$AR$80)</f>
        <v>1511096.4</v>
      </c>
    </row>
    <row r="17">
      <c r="A17" t="str">
        <v>HECTOR A BERTONE</v>
      </c>
      <c r="B17" t="str">
        <f>IFERROR(INDEX('Base de Datos'!$D$3:$D$80, MATCH(A17, 'Base de Datos'!$L$3:$L$80, 0)), "")</f>
        <v>ago-26</v>
      </c>
      <c r="C17">
        <f>SUMIF('Base de Datos'!$L$3:$L$80, A17, 'Base de Datos'!$AR$3:$AR$80)</f>
        <v>620579.96</v>
      </c>
    </row>
    <row r="18">
      <c r="A18" t="str">
        <v>PUCARA</v>
      </c>
      <c r="B18" t="str">
        <f>IFERROR(INDEX('Base de Datos'!$D$3:$D$80, MATCH(A18, 'Base de Datos'!$L$3:$L$80, 0)), "")</f>
        <v>ago-26</v>
      </c>
      <c r="C18">
        <f>SUMIF('Base de Datos'!$L$3:$L$80, A18, 'Base de Datos'!$AR$3:$AR$80)</f>
        <v>578773.25</v>
      </c>
    </row>
    <row r="19">
      <c r="A19" t="str">
        <v>GLOBE</v>
      </c>
      <c r="B19" t="str">
        <f>IFERROR(INDEX('Base de Datos'!$D$3:$D$80, MATCH(A19, 'Base de Datos'!$L$3:$L$80, 0)), "")</f>
        <v>ago-26</v>
      </c>
      <c r="C19">
        <f>SUMIF('Base de Datos'!$L$3:$L$80, A19, 'Base de Datos'!$AR$3:$AR$80)</f>
        <v>252418.1</v>
      </c>
    </row>
    <row r="20">
      <c r="A20" t="str">
        <v>TRANSPORTE JOSE CARLOS SRL</v>
      </c>
      <c r="B20" t="str">
        <f>IFERROR(INDEX('Base de Datos'!$D$3:$D$80, MATCH(A20, 'Base de Datos'!$L$3:$L$80, 0)), "")</f>
        <v>ago-26</v>
      </c>
      <c r="C20">
        <f>SUMIF('Base de Datos'!$L$3:$L$80, A20, 'Base de Datos'!$AR$3:$AR$80)</f>
        <v>238772.93</v>
      </c>
    </row>
    <row r="21">
      <c r="A21" t="str">
        <v>GRUPO CKOSS SRL</v>
      </c>
      <c r="B21" t="str">
        <f>IFERROR(INDEX('Base de Datos'!$D$3:$D$80, MATCH(A21, 'Base de Datos'!$L$3:$L$80, 0)), "")</f>
        <v>ago-26</v>
      </c>
      <c r="C21">
        <f>SUMIF('Base de Datos'!$L$3:$L$80, A21, 'Base de Datos'!$AR$3:$AR$80)</f>
        <v>191196.94</v>
      </c>
    </row>
    <row r="22">
      <c r="A22" t="str">
        <v>BRESSAN</v>
      </c>
      <c r="B22" t="str">
        <f>IFERROR(INDEX('Base de Datos'!$D$3:$D$80, MATCH(A22, 'Base de Datos'!$L$3:$L$80, 0)), "")</f>
        <v>ago-26</v>
      </c>
      <c r="C22">
        <f>SUMIF('Base de Datos'!$L$3:$L$80, A22, 'Base de Datos'!$AR$3:$AR$80)</f>
        <v>142985.7</v>
      </c>
    </row>
    <row r="23">
      <c r="A23" t="str">
        <v>GALEAZZI FRANCO MAURICIO</v>
      </c>
      <c r="B23" t="str">
        <f>IFERROR(INDEX('Base de Datos'!$D$3:$D$80, MATCH(A23, 'Base de Datos'!$L$3:$L$80, 0)), "")</f>
        <v>ago-26</v>
      </c>
      <c r="C23">
        <f>SUMIF('Base de Datos'!$L$3:$L$80, A23, 'Base de Datos'!$AR$3:$AR$80)</f>
        <v>89600.5</v>
      </c>
    </row>
    <row r="24">
      <c r="A24" t="str">
        <v>BARRILIN ROBERTO</v>
      </c>
      <c r="B24" t="str">
        <f>IFERROR(INDEX('Base de Datos'!$D$3:$D$80, MATCH(A24, 'Base de Datos'!$L$3:$L$80, 0)), "")</f>
        <v>ago-26</v>
      </c>
      <c r="C24">
        <f>SUMIF('Base de Datos'!$L$3:$L$80, A24, 'Base de Datos'!$AR$3:$AR$80)</f>
        <v>7260</v>
      </c>
    </row>
    <row r="25">
      <c r="A25" t="str">
        <v>LUCERO CESAR MAURICIO</v>
      </c>
      <c r="B25" t="str">
        <f>IFERROR(INDEX('Base de Datos'!$D$3:$D$80, MATCH(A25, 'Base de Datos'!$L$3:$L$80, 0)), "")</f>
        <v>ago-26</v>
      </c>
      <c r="C25">
        <f>SUMIF('Base de Datos'!$L$3:$L$80, A25, 'Base de Datos'!$AR$3:$AR$80)</f>
        <v>7260</v>
      </c>
    </row>
    <row r="26">
      <c r="A26" t="str">
        <v>RUBEN EMANUEL ALEJANDRO</v>
      </c>
      <c r="B26" t="str">
        <f>IFERROR(INDEX('Base de Datos'!$D$3:$D$80, MATCH(A26, 'Base de Datos'!$L$3:$L$80, 0)), "")</f>
        <v>ago-26</v>
      </c>
      <c r="C26">
        <f>SUMIF('Base de Datos'!$L$3:$L$80, A26, 'Base de Datos'!$AR$3:$AR$80)</f>
        <v>7260</v>
      </c>
    </row>
    <row r="27">
      <c r="A27" t="str">
        <v>MARTINEZ NESTOR JABIER</v>
      </c>
      <c r="B27" t="str">
        <f>IFERROR(INDEX('Base de Datos'!$D$3:$D$80, MATCH(A27, 'Base de Datos'!$L$3:$L$80, 0)), "")</f>
        <v>ago-26</v>
      </c>
      <c r="C27">
        <f>SUMIF('Base de Datos'!$L$3:$L$80, A27, 'Base de Datos'!$AR$3:$AR$80)</f>
        <v>7260</v>
      </c>
    </row>
    <row r="28">
      <c r="A28" t="str">
        <v>RUBEN EDUARDO EZEQUIEL</v>
      </c>
      <c r="B28" t="str">
        <f>IFERROR(INDEX('Base de Datos'!$D$3:$D$80, MATCH(A28, 'Base de Datos'!$L$3:$L$80, 0)), "")</f>
        <v>ago-26</v>
      </c>
      <c r="C28">
        <f>SUMIF('Base de Datos'!$L$3:$L$80, A28, 'Base de Datos'!$AR$3:$AR$80)</f>
        <v>7260</v>
      </c>
    </row>
    <row r="29">
      <c r="A29" t="str">
        <v>RUBEN EDUARDO JOSE</v>
      </c>
      <c r="B29" t="str">
        <f>IFERROR(INDEX('Base de Datos'!$D$3:$D$80, MATCH(A29, 'Base de Datos'!$L$3:$L$80, 0)), "")</f>
        <v>ago-26</v>
      </c>
      <c r="C29">
        <f>SUMIF('Base de Datos'!$L$3:$L$80, A29, 'Base de Datos'!$AR$3:$AR$80)</f>
        <v>7260</v>
      </c>
    </row>
    <row r="30">
      <c r="A30" t="str">
        <v>DALMASO - RONATA</v>
      </c>
      <c r="B30" t="str">
        <f>IFERROR(INDEX('Base de Datos'!$D$3:$D$80, MATCH(A30, 'Base de Datos'!$L$3:$L$80, 0)), "")</f>
        <v>ago-26</v>
      </c>
      <c r="C30">
        <f>SUMIF('Base de Datos'!$L$3:$L$80, A30, 'Base de Datos'!$AR$3:$AR$80)</f>
        <v>0</v>
      </c>
    </row>
    <row r="31">
      <c r="A31" t="str">
        <v>Total general --- Punto Vta 12</v>
      </c>
      <c r="B31" t="str">
        <v/>
      </c>
      <c r="C31">
        <f>SUM(C13:C30)</f>
        <v>28194738.839999996</v>
      </c>
    </row>
    <row r="33">
      <c r="A33" t="str">
        <v>CONTROL DE CORRELATIVIDAD DE FACTURAS EMITIDAS (Detalle de Comprobantes)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Fecha Liqui Fleteros</v>
      </c>
      <c r="B34" t="str">
        <v>Cliente Contrata Servicio</v>
      </c>
      <c r="C34" t="str">
        <v>FAC</v>
      </c>
      <c r="D34" t="str">
        <v>Fecha Fac. BSA</v>
      </c>
      <c r="E34" t="str">
        <v>NG.</v>
      </c>
      <c r="F34" t="str">
        <v>DEBE.</v>
      </c>
    </row>
    <row r="35">
      <c r="A35" t="str">
        <f>IFERROR(INDEX('Base de Datos'!$D$3:$D$80, MATCH(C35, 'Base de Datos'!$AJ$3:$AJ$80, 0)), "")</f>
        <v>1/8/2026</v>
      </c>
      <c r="B35" t="str">
        <f>IFERROR(INDEX('Base de Datos'!$L$3:$L$80, MATCH(C35, 'Base de Datos'!$AJ$3:$AJ$80, 0)), "")</f>
        <v>BRESSAN</v>
      </c>
      <c r="C35" t="str">
        <v>12-5232</v>
      </c>
      <c r="D35" t="str">
        <f>IFERROR(INDEX('Base de Datos'!$AK$3:$AK$80, MATCH(C35, 'Base de Datos'!$AJ$3:$AJ$80, 0)), "")</f>
        <v>17/8/2026</v>
      </c>
      <c r="E35">
        <f>SUMIF('Base de Datos'!$AJ$3:$AJ$80, C35, 'Base de Datos'!$AP$3:$AP$80)</f>
        <v>118170</v>
      </c>
      <c r="F35">
        <f>SUMIF('Base de Datos'!$AJ$3:$AJ$80, C35, 'Base de Datos'!$AR$3:$AR$80)</f>
        <v>142985.7</v>
      </c>
    </row>
    <row r="36">
      <c r="A36" t="str">
        <f>IFERROR(INDEX('Base de Datos'!$D$3:$D$80, MATCH(C36, 'Base de Datos'!$AJ$3:$AJ$80, 0)), "")</f>
        <v>ago-26</v>
      </c>
      <c r="B36" t="str">
        <f>IFERROR(INDEX('Base de Datos'!$L$3:$L$80, MATCH(C36, 'Base de Datos'!$AJ$3:$AJ$80, 0)), "")</f>
        <v>TRANSPORTE JOSE CARLOS SRL</v>
      </c>
      <c r="C36" t="str">
        <v>12-5224</v>
      </c>
      <c r="D36" t="str">
        <f>IFERROR(INDEX('Base de Datos'!$AK$3:$AK$80, MATCH(C36, 'Base de Datos'!$AJ$3:$AJ$80, 0)), "")</f>
        <v>10/8/2026</v>
      </c>
      <c r="E36">
        <f>SUMIF('Base de Datos'!$AJ$3:$AJ$80, C36, 'Base de Datos'!$AP$3:$AP$80)</f>
        <v>128904</v>
      </c>
      <c r="F36">
        <f>SUMIF('Base de Datos'!$AJ$3:$AJ$80, C36, 'Base de Datos'!$AR$3:$AR$80)</f>
        <v>155973.84</v>
      </c>
    </row>
    <row r="37">
      <c r="A37" t="str">
        <f>IFERROR(INDEX('Base de Datos'!$D$3:$D$80, MATCH(C37, 'Base de Datos'!$AJ$3:$AJ$80, 0)), "")</f>
        <v>ago-26</v>
      </c>
      <c r="B37" t="str">
        <f>IFERROR(INDEX('Base de Datos'!$L$3:$L$80, MATCH(C37, 'Base de Datos'!$AJ$3:$AJ$80, 0)), "")</f>
        <v>TRANSPORTE JOSE CARLOS SRL</v>
      </c>
      <c r="C37" t="str">
        <v>12-5238</v>
      </c>
      <c r="D37" t="str">
        <f>IFERROR(INDEX('Base de Datos'!$AK$3:$AK$80, MATCH(C37, 'Base de Datos'!$AJ$3:$AJ$80, 0)), "")</f>
        <v>24/8/2026</v>
      </c>
      <c r="E37">
        <f>SUMIF('Base de Datos'!$AJ$3:$AJ$80, C37, 'Base de Datos'!$AP$3:$AP$80)</f>
        <v>68429</v>
      </c>
      <c r="F37">
        <f>SUMIF('Base de Datos'!$AJ$3:$AJ$80, C37, 'Base de Datos'!$AR$3:$AR$80)</f>
        <v>82799.09</v>
      </c>
    </row>
    <row r="38">
      <c r="A38" t="str">
        <f>IFERROR(INDEX('Base de Datos'!$D$3:$D$80, MATCH(C38, 'Base de Datos'!$AJ$3:$AJ$80, 0)), "")</f>
        <v>ago-26</v>
      </c>
      <c r="B38" t="str">
        <f>IFERROR(INDEX('Base de Datos'!$L$3:$L$80, MATCH(C38, 'Base de Datos'!$AJ$3:$AJ$80, 0)), "")</f>
        <v>BARRILIN ROBERTO</v>
      </c>
      <c r="C38" t="str">
        <v>12-5239</v>
      </c>
      <c r="D38" t="str">
        <f>IFERROR(INDEX('Base de Datos'!$AK$3:$AK$80, MATCH(C38, 'Base de Datos'!$AJ$3:$AJ$80, 0)), "")</f>
        <v>26/8/2026</v>
      </c>
      <c r="E38">
        <f>SUMIF('Base de Datos'!$AJ$3:$AJ$80, C38, 'Base de Datos'!$AP$3:$AP$80)</f>
        <v>6000</v>
      </c>
      <c r="F38">
        <f>SUMIF('Base de Datos'!$AJ$3:$AJ$80, C38, 'Base de Datos'!$AR$3:$AR$80)</f>
        <v>7260</v>
      </c>
    </row>
    <row r="39">
      <c r="A39" t="str">
        <f>IFERROR(INDEX('Base de Datos'!$D$3:$D$80, MATCH(C39, 'Base de Datos'!$AJ$3:$AJ$80, 0)), "")</f>
        <v>ago-26</v>
      </c>
      <c r="B39" t="str">
        <f>IFERROR(INDEX('Base de Datos'!$L$3:$L$80, MATCH(C39, 'Base de Datos'!$AJ$3:$AJ$80, 0)), "")</f>
        <v>LUCERO CESAR MAURICIO</v>
      </c>
      <c r="C39" t="str">
        <v>12-5240</v>
      </c>
      <c r="D39" t="str">
        <f>IFERROR(INDEX('Base de Datos'!$AK$3:$AK$80, MATCH(C39, 'Base de Datos'!$AJ$3:$AJ$80, 0)), "")</f>
        <v>26/8/2026</v>
      </c>
      <c r="E39">
        <f>SUMIF('Base de Datos'!$AJ$3:$AJ$80, C39, 'Base de Datos'!$AP$3:$AP$80)</f>
        <v>6000</v>
      </c>
      <c r="F39">
        <f>SUMIF('Base de Datos'!$AJ$3:$AJ$80, C39, 'Base de Datos'!$AR$3:$AR$80)</f>
        <v>7260</v>
      </c>
    </row>
    <row r="40">
      <c r="A40" t="str">
        <f>IFERROR(INDEX('Base de Datos'!$D$3:$D$80, MATCH(C40, 'Base de Datos'!$AJ$3:$AJ$80, 0)), "")</f>
        <v>ago-26</v>
      </c>
      <c r="B40" t="str">
        <f>IFERROR(INDEX('Base de Datos'!$L$3:$L$80, MATCH(C40, 'Base de Datos'!$AJ$3:$AJ$80, 0)), "")</f>
        <v>MARTINEZ NESTOR JABIER</v>
      </c>
      <c r="C40" t="str">
        <v>12-5241</v>
      </c>
      <c r="D40" t="str">
        <f>IFERROR(INDEX('Base de Datos'!$AK$3:$AK$80, MATCH(C40, 'Base de Datos'!$AJ$3:$AJ$80, 0)), "")</f>
        <v>26/8/2026</v>
      </c>
      <c r="E40">
        <f>SUMIF('Base de Datos'!$AJ$3:$AJ$80, C40, 'Base de Datos'!$AP$3:$AP$80)</f>
        <v>6000</v>
      </c>
      <c r="F40">
        <f>SUMIF('Base de Datos'!$AJ$3:$AJ$80, C40, 'Base de Datos'!$AR$3:$AR$80)</f>
        <v>7260</v>
      </c>
    </row>
    <row r="41">
      <c r="A41" t="str">
        <f>IFERROR(INDEX('Base de Datos'!$D$3:$D$80, MATCH(C41, 'Base de Datos'!$AJ$3:$AJ$80, 0)), "")</f>
        <v>ago-26</v>
      </c>
      <c r="B41" t="str">
        <f>IFERROR(INDEX('Base de Datos'!$L$3:$L$80, MATCH(C41, 'Base de Datos'!$AJ$3:$AJ$80, 0)), "")</f>
        <v>RUBEN EDUARDO EZEQUIEL</v>
      </c>
      <c r="C41" t="str">
        <v>12-5244</v>
      </c>
      <c r="D41" t="str">
        <f>IFERROR(INDEX('Base de Datos'!$AK$3:$AK$80, MATCH(C41, 'Base de Datos'!$AJ$3:$AJ$80, 0)), "")</f>
        <v>26/8/2026</v>
      </c>
      <c r="E41">
        <f>SUMIF('Base de Datos'!$AJ$3:$AJ$80, C41, 'Base de Datos'!$AP$3:$AP$80)</f>
        <v>6000</v>
      </c>
      <c r="F41">
        <f>SUMIF('Base de Datos'!$AJ$3:$AJ$80, C41, 'Base de Datos'!$AR$3:$AR$80)</f>
        <v>7260</v>
      </c>
    </row>
    <row r="42">
      <c r="A42" t="str">
        <f>IFERROR(INDEX('Base de Datos'!$D$3:$D$80, MATCH(C42, 'Base de Datos'!$AJ$3:$AJ$80, 0)), "")</f>
        <v>ago-26</v>
      </c>
      <c r="B42" t="str">
        <f>IFERROR(INDEX('Base de Datos'!$L$3:$L$80, MATCH(C42, 'Base de Datos'!$AJ$3:$AJ$80, 0)), "")</f>
        <v>RUBEN EMANUEL ALEJANDRO</v>
      </c>
      <c r="C42" t="str">
        <v>12-5243</v>
      </c>
      <c r="D42" t="str">
        <f>IFERROR(INDEX('Base de Datos'!$AK$3:$AK$80, MATCH(C42, 'Base de Datos'!$AJ$3:$AJ$80, 0)), "")</f>
        <v>26/8/2026</v>
      </c>
      <c r="E42">
        <f>SUMIF('Base de Datos'!$AJ$3:$AJ$80, C42, 'Base de Datos'!$AP$3:$AP$80)</f>
        <v>6000</v>
      </c>
      <c r="F42">
        <f>SUMIF('Base de Datos'!$AJ$3:$AJ$80, C42, 'Base de Datos'!$AR$3:$AR$80)</f>
        <v>7260</v>
      </c>
    </row>
    <row r="43">
      <c r="A43" t="str">
        <f>IFERROR(INDEX('Base de Datos'!$D$3:$D$80, MATCH(C43, 'Base de Datos'!$AJ$3:$AJ$80, 0)), "")</f>
        <v>ago-26</v>
      </c>
      <c r="B43" t="str">
        <f>IFERROR(INDEX('Base de Datos'!$L$3:$L$80, MATCH(C43, 'Base de Datos'!$AJ$3:$AJ$80, 0)), "")</f>
        <v>RUBEN EDUARDO JOSE</v>
      </c>
      <c r="C43" t="str">
        <v>12-5242</v>
      </c>
      <c r="D43" t="str">
        <f>IFERROR(INDEX('Base de Datos'!$AK$3:$AK$80, MATCH(C43, 'Base de Datos'!$AJ$3:$AJ$80, 0)), "")</f>
        <v>26/8/2026</v>
      </c>
      <c r="E43">
        <f>SUMIF('Base de Datos'!$AJ$3:$AJ$80, C43, 'Base de Datos'!$AP$3:$AP$80)</f>
        <v>6000</v>
      </c>
      <c r="F43">
        <f>SUMIF('Base de Datos'!$AJ$3:$AJ$80, C43, 'Base de Datos'!$AR$3:$AR$80)</f>
        <v>7260</v>
      </c>
    </row>
    <row r="44">
      <c r="A44" t="str">
        <f>IFERROR(INDEX('Base de Datos'!$D$3:$D$80, MATCH(C44, 'Base de Datos'!$AJ$3:$AJ$80, 0)), "")</f>
        <v>ago-26</v>
      </c>
      <c r="B44" t="str">
        <f>IFERROR(INDEX('Base de Datos'!$L$3:$L$80, MATCH(C44, 'Base de Datos'!$AJ$3:$AJ$80, 0)), "")</f>
        <v>GRUPO CKOSS SRL</v>
      </c>
      <c r="C44" t="str">
        <v>12-5228</v>
      </c>
      <c r="D44" t="str">
        <f>IFERROR(INDEX('Base de Datos'!$AK$3:$AK$80, MATCH(C44, 'Base de Datos'!$AJ$3:$AJ$80, 0)), "")</f>
        <v>14/8/2026</v>
      </c>
      <c r="E44">
        <f>SUMIF('Base de Datos'!$AJ$3:$AJ$80, C44, 'Base de Datos'!$AP$3:$AP$80)</f>
        <v>158014</v>
      </c>
      <c r="F44">
        <f>SUMIF('Base de Datos'!$AJ$3:$AJ$80, C44, 'Base de Datos'!$AR$3:$AR$80)</f>
        <v>191196.94</v>
      </c>
    </row>
    <row r="45">
      <c r="A45" t="str">
        <f>IFERROR(INDEX('Base de Datos'!$D$3:$D$80, MATCH(C45, 'Base de Datos'!$AJ$3:$AJ$80, 0)), "")</f>
        <v>ago-26</v>
      </c>
      <c r="B45" t="str">
        <f>IFERROR(INDEX('Base de Datos'!$L$3:$L$80, MATCH(C45, 'Base de Datos'!$AJ$3:$AJ$80, 0)), "")</f>
        <v>HECTOR A BERTONE</v>
      </c>
      <c r="C45" t="str">
        <v>12-5229</v>
      </c>
      <c r="D45" t="str">
        <f>IFERROR(INDEX('Base de Datos'!$AK$3:$AK$80, MATCH(C45, 'Base de Datos'!$AJ$3:$AJ$80, 0)), "")</f>
        <v>14/8/2026</v>
      </c>
      <c r="E45">
        <f>SUMIF('Base de Datos'!$AJ$3:$AJ$80, C45, 'Base de Datos'!$AP$3:$AP$80)</f>
        <v>342888</v>
      </c>
      <c r="F45">
        <f>SUMIF('Base de Datos'!$AJ$3:$AJ$80, C45, 'Base de Datos'!$AR$3:$AR$80)</f>
        <v>414894.48</v>
      </c>
    </row>
    <row r="46">
      <c r="A46" t="str">
        <f>IFERROR(INDEX('Base de Datos'!$D$3:$D$80, MATCH(C46, 'Base de Datos'!$AJ$3:$AJ$80, 0)), "")</f>
        <v>ago-26</v>
      </c>
      <c r="B46" t="str">
        <f>IFERROR(INDEX('Base de Datos'!$L$3:$L$80, MATCH(C46, 'Base de Datos'!$AJ$3:$AJ$80, 0)), "")</f>
        <v>HECTOR A BERTONE</v>
      </c>
      <c r="C46" t="str">
        <v>12-5248</v>
      </c>
      <c r="D46" t="str">
        <f>IFERROR(INDEX('Base de Datos'!$AK$3:$AK$80, MATCH(C46, 'Base de Datos'!$AJ$3:$AJ$80, 0)), "")</f>
        <v>31/8/2026</v>
      </c>
      <c r="E46">
        <f>SUMIF('Base de Datos'!$AJ$3:$AJ$80, C46, 'Base de Datos'!$AP$3:$AP$80)</f>
        <v>169988</v>
      </c>
      <c r="F46">
        <f>SUMIF('Base de Datos'!$AJ$3:$AJ$80, C46, 'Base de Datos'!$AR$3:$AR$80)</f>
        <v>205685.48</v>
      </c>
    </row>
    <row r="47">
      <c r="A47" t="str">
        <f>IFERROR(INDEX('Base de Datos'!$D$3:$D$80, MATCH(C47, 'Base de Datos'!$AJ$3:$AJ$80, 0)), "")</f>
        <v>ago-26</v>
      </c>
      <c r="B47" t="str">
        <f>IFERROR(INDEX('Base de Datos'!$L$3:$L$80, MATCH(C47, 'Base de Datos'!$AJ$3:$AJ$80, 0)), "")</f>
        <v>GALEAZZI FRANCO MAURICIO</v>
      </c>
      <c r="C47" t="str">
        <v>12-5249</v>
      </c>
      <c r="D47" t="str">
        <f>IFERROR(INDEX('Base de Datos'!$AK$3:$AK$80, MATCH(C47, 'Base de Datos'!$AJ$3:$AJ$80, 0)), "")</f>
        <v>31/8/2026</v>
      </c>
      <c r="E47">
        <f>SUMIF('Base de Datos'!$AJ$3:$AJ$80, C47, 'Base de Datos'!$AP$3:$AP$80)</f>
        <v>74050</v>
      </c>
      <c r="F47">
        <f>SUMIF('Base de Datos'!$AJ$3:$AJ$80, C47, 'Base de Datos'!$AR$3:$AR$80)</f>
        <v>89600.5</v>
      </c>
    </row>
    <row r="48">
      <c r="A48" t="str">
        <f>IFERROR(INDEX('Base de Datos'!$D$3:$D$80, MATCH(C48, 'Base de Datos'!$AJ$3:$AJ$80, 0)), "")</f>
        <v>ago-26</v>
      </c>
      <c r="B48" t="str">
        <f>IFERROR(INDEX('Base de Datos'!$L$3:$L$80, MATCH(C48, 'Base de Datos'!$AJ$3:$AJ$80, 0)), "")</f>
        <v>ALACAL SRL</v>
      </c>
      <c r="C48" t="str">
        <v>12-5227</v>
      </c>
      <c r="D48" t="str">
        <f>IFERROR(INDEX('Base de Datos'!$AK$3:$AK$80, MATCH(C48, 'Base de Datos'!$AJ$3:$AJ$80, 0)), "")</f>
        <v>10/8/2026</v>
      </c>
      <c r="E48">
        <f>SUMIF('Base de Datos'!$AJ$3:$AJ$80, C48, 'Base de Datos'!$AP$3:$AP$80)</f>
        <v>553344</v>
      </c>
      <c r="F48">
        <f>SUMIF('Base de Datos'!$AJ$3:$AJ$80, C48, 'Base de Datos'!$AR$3:$AR$80)</f>
        <v>669546.24</v>
      </c>
    </row>
    <row r="49">
      <c r="A49" t="str">
        <f>IFERROR(INDEX('Base de Datos'!$D$3:$D$80, MATCH(C49, 'Base de Datos'!$AJ$3:$AJ$80, 0)), "")</f>
        <v>ago-26</v>
      </c>
      <c r="B49" t="str">
        <f>IFERROR(INDEX('Base de Datos'!$L$3:$L$80, MATCH(C49, 'Base de Datos'!$AJ$3:$AJ$80, 0)), "")</f>
        <v>ALACAL SRL</v>
      </c>
      <c r="C49" t="str">
        <v>12-5230</v>
      </c>
      <c r="D49" t="str">
        <f>IFERROR(INDEX('Base de Datos'!$AK$3:$AK$80, MATCH(C49, 'Base de Datos'!$AJ$3:$AJ$80, 0)), "")</f>
        <v>14/8/2026</v>
      </c>
      <c r="E49">
        <f>SUMIF('Base de Datos'!$AJ$3:$AJ$80, C49, 'Base de Datos'!$AP$3:$AP$80)</f>
        <v>497970</v>
      </c>
      <c r="F49">
        <f>SUMIF('Base de Datos'!$AJ$3:$AJ$80, C49, 'Base de Datos'!$AR$3:$AR$80)</f>
        <v>602543.7</v>
      </c>
    </row>
    <row r="50">
      <c r="A50" t="str">
        <f>IFERROR(INDEX('Base de Datos'!$D$3:$D$80, MATCH(C50, 'Base de Datos'!$AJ$3:$AJ$80, 0)), "")</f>
        <v>ago-26</v>
      </c>
      <c r="B50" t="str">
        <f>IFERROR(INDEX('Base de Datos'!$L$3:$L$80, MATCH(C50, 'Base de Datos'!$AJ$3:$AJ$80, 0)), "")</f>
        <v>ALACAL SRL</v>
      </c>
      <c r="C50" t="str">
        <v>12-5237</v>
      </c>
      <c r="D50" t="str">
        <f>IFERROR(INDEX('Base de Datos'!$AK$3:$AK$80, MATCH(C50, 'Base de Datos'!$AJ$3:$AJ$80, 0)), "")</f>
        <v>24/8/2026</v>
      </c>
      <c r="E50">
        <f>SUMIF('Base de Datos'!$AJ$3:$AJ$80, C50, 'Base de Datos'!$AP$3:$AP$80)</f>
        <v>489192</v>
      </c>
      <c r="F50">
        <f>SUMIF('Base de Datos'!$AJ$3:$AJ$80, C50, 'Base de Datos'!$AR$3:$AR$80)</f>
        <v>591922.32</v>
      </c>
    </row>
    <row r="51">
      <c r="A51" t="str">
        <f>IFERROR(INDEX('Base de Datos'!$D$3:$D$80, MATCH(C51, 'Base de Datos'!$AJ$3:$AJ$80, 0)), "")</f>
        <v>ago-26</v>
      </c>
      <c r="B51" t="str">
        <f>IFERROR(INDEX('Base de Datos'!$L$3:$L$80, MATCH(C51, 'Base de Datos'!$AJ$3:$AJ$80, 0)), "")</f>
        <v>ALACAL SRL</v>
      </c>
      <c r="C51" t="str">
        <v>12-5247</v>
      </c>
      <c r="D51" t="str">
        <f>IFERROR(INDEX('Base de Datos'!$AK$3:$AK$80, MATCH(C51, 'Base de Datos'!$AJ$3:$AJ$80, 0)), "")</f>
        <v>31/8/2026</v>
      </c>
      <c r="E51">
        <f>SUMIF('Base de Datos'!$AJ$3:$AJ$80, C51, 'Base de Datos'!$AP$3:$AP$80)</f>
        <v>339108</v>
      </c>
      <c r="F51">
        <f>SUMIF('Base de Datos'!$AJ$3:$AJ$80, C51, 'Base de Datos'!$AR$3:$AR$80)</f>
        <v>410320.68</v>
      </c>
    </row>
    <row r="52">
      <c r="A52" t="str">
        <f>IFERROR(INDEX('Base de Datos'!$D$3:$D$80, MATCH(C52, 'Base de Datos'!$AJ$3:$AJ$80, 0)), "")</f>
        <v>sep-26</v>
      </c>
      <c r="B52" t="str">
        <f>IFERROR(INDEX('Base de Datos'!$L$3:$L$80, MATCH(C52, 'Base de Datos'!$AJ$3:$AJ$80, 0)), "")</f>
        <v>ALACAL SRL</v>
      </c>
      <c r="C52" t="str">
        <v>Pendiente</v>
      </c>
      <c r="D52" t="str">
        <f>IFERROR(INDEX('Base de Datos'!$AK$3:$AK$80, MATCH(C52, 'Base de Datos'!$AJ$3:$AJ$80, 0)), "")</f>
        <v>Pendiente</v>
      </c>
      <c r="E52">
        <f>SUMIF('Base de Datos'!$AJ$3:$AJ$80, C52, 'Base de Datos'!$AP$3:$AP$80)</f>
        <v>52536</v>
      </c>
      <c r="F52">
        <f>SUMIF('Base de Datos'!$AJ$3:$AJ$80, C52, 'Base de Datos'!$AR$3:$AR$80)</f>
        <v>63568.56</v>
      </c>
    </row>
    <row r="53">
      <c r="A53" t="str">
        <f>IFERROR(INDEX('Base de Datos'!$D$3:$D$80, MATCH(C53, 'Base de Datos'!$AJ$3:$AJ$80, 0)), "")</f>
        <v>ago-26</v>
      </c>
      <c r="B53" t="str">
        <f>IFERROR(INDEX('Base de Datos'!$L$3:$L$80, MATCH(C53, 'Base de Datos'!$AJ$3:$AJ$80, 0)), "")</f>
        <v>RONATA</v>
      </c>
      <c r="C53" t="str">
        <v>0012-00887</v>
      </c>
      <c r="D53" t="str">
        <f>IFERROR(INDEX('Base de Datos'!$AK$3:$AK$80, MATCH(C53, 'Base de Datos'!$AJ$3:$AJ$80, 0)), "")</f>
        <v>10/8/2026</v>
      </c>
      <c r="E53">
        <f>SUMIF('Base de Datos'!$AJ$3:$AJ$80, C53, 'Base de Datos'!$AP$3:$AP$80)</f>
        <v>2239679.52</v>
      </c>
      <c r="F53">
        <f>SUMIF('Base de Datos'!$AJ$3:$AJ$80, C53, 'Base de Datos'!$AR$3:$AR$80)</f>
        <v>2710012.22</v>
      </c>
    </row>
    <row r="54">
      <c r="A54" t="str">
        <f>IFERROR(INDEX('Base de Datos'!$D$3:$D$80, MATCH(C54, 'Base de Datos'!$AJ$3:$AJ$80, 0)), "")</f>
        <v>ago-26</v>
      </c>
      <c r="B54" t="str">
        <f>IFERROR(INDEX('Base de Datos'!$L$3:$L$80, MATCH(C54, 'Base de Datos'!$AJ$3:$AJ$80, 0)), "")</f>
        <v>RONATA</v>
      </c>
      <c r="C54" t="str">
        <v>0012-00888</v>
      </c>
      <c r="D54" t="str">
        <f>IFERROR(INDEX('Base de Datos'!$AK$3:$AK$80, MATCH(C54, 'Base de Datos'!$AJ$3:$AJ$80, 0)), "")</f>
        <v>10/8/2026</v>
      </c>
      <c r="E54">
        <f>SUMIF('Base de Datos'!$AJ$3:$AJ$80, C54, 'Base de Datos'!$AP$3:$AP$80)</f>
        <v>1532434.7</v>
      </c>
      <c r="F54">
        <f>SUMIF('Base de Datos'!$AJ$3:$AJ$80, C54, 'Base de Datos'!$AR$3:$AR$80)</f>
        <v>1854245.99</v>
      </c>
    </row>
    <row r="55">
      <c r="A55" t="str">
        <f>IFERROR(INDEX('Base de Datos'!$D$3:$D$80, MATCH(C55, 'Base de Datos'!$AJ$3:$AJ$80, 0)), "")</f>
        <v>ago-26</v>
      </c>
      <c r="B55" t="str">
        <f>IFERROR(INDEX('Base de Datos'!$L$3:$L$80, MATCH(C55, 'Base de Datos'!$AJ$3:$AJ$80, 0)), "")</f>
        <v>RONATA</v>
      </c>
      <c r="C55" t="str">
        <v>0012-00889</v>
      </c>
      <c r="D55" t="str">
        <f>IFERROR(INDEX('Base de Datos'!$AK$3:$AK$80, MATCH(C55, 'Base de Datos'!$AJ$3:$AJ$80, 0)), "")</f>
        <v>14/8/2026</v>
      </c>
      <c r="E55">
        <f>SUMIF('Base de Datos'!$AJ$3:$AJ$80, C55, 'Base de Datos'!$AP$3:$AP$80)</f>
        <v>519263.82</v>
      </c>
      <c r="F55">
        <f>SUMIF('Base de Datos'!$AJ$3:$AJ$80, C55, 'Base de Datos'!$AR$3:$AR$80)</f>
        <v>628309.22</v>
      </c>
    </row>
    <row r="56">
      <c r="A56" t="str">
        <f>IFERROR(INDEX('Base de Datos'!$D$3:$D$80, MATCH(C56, 'Base de Datos'!$AJ$3:$AJ$80, 0)), "")</f>
        <v>ago-26</v>
      </c>
      <c r="B56" t="str">
        <f>IFERROR(INDEX('Base de Datos'!$L$3:$L$80, MATCH(C56, 'Base de Datos'!$AJ$3:$AJ$80, 0)), "")</f>
        <v>RONATA</v>
      </c>
      <c r="C56" t="str">
        <v>0012-00890</v>
      </c>
      <c r="D56" t="str">
        <f>IFERROR(INDEX('Base de Datos'!$AK$3:$AK$80, MATCH(C56, 'Base de Datos'!$AJ$3:$AJ$80, 0)), "")</f>
        <v>18/8/2026</v>
      </c>
      <c r="E56">
        <f>SUMIF('Base de Datos'!$AJ$3:$AJ$80, C56, 'Base de Datos'!$AP$3:$AP$80)</f>
        <v>2101821.67</v>
      </c>
      <c r="F56">
        <f>SUMIF('Base de Datos'!$AJ$3:$AJ$80, C56, 'Base de Datos'!$AR$3:$AR$80)</f>
        <v>2543204.22</v>
      </c>
    </row>
    <row r="57">
      <c r="A57" t="str">
        <f>IFERROR(INDEX('Base de Datos'!$D$3:$D$80, MATCH(C57, 'Base de Datos'!$AJ$3:$AJ$80, 0)), "")</f>
        <v>ago-26</v>
      </c>
      <c r="B57" t="str">
        <f>IFERROR(INDEX('Base de Datos'!$L$3:$L$80, MATCH(C57, 'Base de Datos'!$AJ$3:$AJ$80, 0)), "")</f>
        <v>RONATA</v>
      </c>
      <c r="C57" t="str">
        <v>0012-00891</v>
      </c>
      <c r="D57" t="str">
        <f>IFERROR(INDEX('Base de Datos'!$AK$3:$AK$80, MATCH(C57, 'Base de Datos'!$AJ$3:$AJ$80, 0)), "")</f>
        <v>18/8/2026</v>
      </c>
      <c r="E57">
        <f>SUMIF('Base de Datos'!$AJ$3:$AJ$80, C57, 'Base de Datos'!$AP$3:$AP$80)</f>
        <v>1678972.49</v>
      </c>
      <c r="F57">
        <f>SUMIF('Base de Datos'!$AJ$3:$AJ$80, C57, 'Base de Datos'!$AR$3:$AR$80)</f>
        <v>2031556.71</v>
      </c>
    </row>
    <row r="58">
      <c r="A58" t="str">
        <f>IFERROR(INDEX('Base de Datos'!$D$3:$D$80, MATCH(C58, 'Base de Datos'!$AJ$3:$AJ$80, 0)), "")</f>
        <v>ago-26</v>
      </c>
      <c r="B58" t="str">
        <f>IFERROR(INDEX('Base de Datos'!$L$3:$L$80, MATCH(C58, 'Base de Datos'!$AJ$3:$AJ$80, 0)), "")</f>
        <v>RONATA</v>
      </c>
      <c r="C58" t="str">
        <v>0012-00892</v>
      </c>
      <c r="D58" t="str">
        <f>IFERROR(INDEX('Base de Datos'!$AK$3:$AK$80, MATCH(C58, 'Base de Datos'!$AJ$3:$AJ$80, 0)), "")</f>
        <v>24/8/2026</v>
      </c>
      <c r="E58">
        <f>SUMIF('Base de Datos'!$AJ$3:$AJ$80, C58, 'Base de Datos'!$AP$3:$AP$80)</f>
        <v>791480.02</v>
      </c>
      <c r="F58">
        <f>SUMIF('Base de Datos'!$AJ$3:$AJ$80, C58, 'Base de Datos'!$AR$3:$AR$80)</f>
        <v>957690.82</v>
      </c>
    </row>
    <row r="59">
      <c r="A59" t="str">
        <f>IFERROR(INDEX('Base de Datos'!$D$3:$D$80, MATCH(C59, 'Base de Datos'!$AJ$3:$AJ$80, 0)), "")</f>
        <v>ago-26</v>
      </c>
      <c r="B59" t="str">
        <f>IFERROR(INDEX('Base de Datos'!$L$3:$L$80, MATCH(C59, 'Base de Datos'!$AJ$3:$AJ$80, 0)), "")</f>
        <v>RONATA</v>
      </c>
      <c r="C59" t="str">
        <v>0012-00893</v>
      </c>
      <c r="D59" t="str">
        <f>IFERROR(INDEX('Base de Datos'!$AK$3:$AK$80, MATCH(C59, 'Base de Datos'!$AJ$3:$AJ$80, 0)), "")</f>
        <v>24/8/2026</v>
      </c>
      <c r="E59">
        <f>SUMIF('Base de Datos'!$AJ$3:$AJ$80, C59, 'Base de Datos'!$AP$3:$AP$80)</f>
        <v>752165.38</v>
      </c>
      <c r="F59">
        <f>SUMIF('Base de Datos'!$AJ$3:$AJ$80, C59, 'Base de Datos'!$AR$3:$AR$80)</f>
        <v>910120.11</v>
      </c>
    </row>
    <row r="60">
      <c r="A60" t="str">
        <f>IFERROR(INDEX('Base de Datos'!$D$3:$D$80, MATCH(C60, 'Base de Datos'!$AJ$3:$AJ$80, 0)), "")</f>
        <v>ago-26</v>
      </c>
      <c r="B60" t="str">
        <f>IFERROR(INDEX('Base de Datos'!$L$3:$L$80, MATCH(C60, 'Base de Datos'!$AJ$3:$AJ$80, 0)), "")</f>
        <v>RONATA</v>
      </c>
      <c r="C60" t="str">
        <v>0012-00894</v>
      </c>
      <c r="D60" t="str">
        <f>IFERROR(INDEX('Base de Datos'!$AK$3:$AK$80, MATCH(C60, 'Base de Datos'!$AJ$3:$AJ$80, 0)), "")</f>
        <v>24/8/2026</v>
      </c>
      <c r="E60">
        <f>SUMIF('Base de Datos'!$AJ$3:$AJ$80, C60, 'Base de Datos'!$AP$3:$AP$80)</f>
        <v>1532349.6</v>
      </c>
      <c r="F60">
        <f>SUMIF('Base de Datos'!$AJ$3:$AJ$80, C60, 'Base de Datos'!$AR$3:$AR$80)</f>
        <v>1854143.02</v>
      </c>
    </row>
    <row r="61">
      <c r="A61" t="str">
        <f>IFERROR(INDEX('Base de Datos'!$D$3:$D$80, MATCH(C61, 'Base de Datos'!$AJ$3:$AJ$80, 0)), "")</f>
        <v>ago-26</v>
      </c>
      <c r="B61" t="str">
        <f>IFERROR(INDEX('Base de Datos'!$L$3:$L$80, MATCH(C61, 'Base de Datos'!$AJ$3:$AJ$80, 0)), "")</f>
        <v>RONATA</v>
      </c>
      <c r="C61" t="str">
        <v>0012-00895</v>
      </c>
      <c r="D61" t="str">
        <f>IFERROR(INDEX('Base de Datos'!$AK$3:$AK$80, MATCH(C61, 'Base de Datos'!$AJ$3:$AJ$80, 0)), "")</f>
        <v>24/8/2026</v>
      </c>
      <c r="E61">
        <f>SUMIF('Base de Datos'!$AJ$3:$AJ$80, C61, 'Base de Datos'!$AP$3:$AP$80)</f>
        <v>1238252.85</v>
      </c>
      <c r="F61">
        <f>SUMIF('Base de Datos'!$AJ$3:$AJ$80, C61, 'Base de Datos'!$AR$3:$AR$80)</f>
        <v>1498285.95</v>
      </c>
    </row>
    <row r="62">
      <c r="A62" t="str">
        <f>IFERROR(INDEX('Base de Datos'!$D$3:$D$80, MATCH(C62, 'Base de Datos'!$AJ$3:$AJ$80, 0)), "")</f>
        <v>ago-26</v>
      </c>
      <c r="B62" t="str">
        <f>IFERROR(INDEX('Base de Datos'!$L$3:$L$80, MATCH(C62, 'Base de Datos'!$AJ$3:$AJ$80, 0)), "")</f>
        <v>RONATA</v>
      </c>
      <c r="C62" t="str">
        <v>0012-00896</v>
      </c>
      <c r="D62" t="str">
        <f>IFERROR(INDEX('Base de Datos'!$AK$3:$AK$80, MATCH(C62, 'Base de Datos'!$AJ$3:$AJ$80, 0)), "")</f>
        <v>31/8/2026</v>
      </c>
      <c r="E62">
        <f>SUMIF('Base de Datos'!$AJ$3:$AJ$80, C62, 'Base de Datos'!$AP$3:$AP$80)</f>
        <v>2107097.71</v>
      </c>
      <c r="F62">
        <f>SUMIF('Base de Datos'!$AJ$3:$AJ$80, C62, 'Base de Datos'!$AR$3:$AR$80)</f>
        <v>2549588.23</v>
      </c>
    </row>
    <row r="63">
      <c r="A63" t="str">
        <f>IFERROR(INDEX('Base de Datos'!$D$3:$D$80, MATCH(C63, 'Base de Datos'!$AJ$3:$AJ$80, 0)), "")</f>
        <v>ago-26</v>
      </c>
      <c r="B63" t="str">
        <f>IFERROR(INDEX('Base de Datos'!$L$3:$L$80, MATCH(C63, 'Base de Datos'!$AJ$3:$AJ$80, 0)), "")</f>
        <v>RONATA</v>
      </c>
      <c r="C63" t="str">
        <v>0012-00897</v>
      </c>
      <c r="D63" t="str">
        <f>IFERROR(INDEX('Base de Datos'!$AK$3:$AK$80, MATCH(C63, 'Base de Datos'!$AJ$3:$AJ$80, 0)), "")</f>
        <v>31/8/2026</v>
      </c>
      <c r="E63">
        <f>SUMIF('Base de Datos'!$AJ$3:$AJ$80, C63, 'Base de Datos'!$AP$3:$AP$80)</f>
        <v>0</v>
      </c>
      <c r="F63">
        <f>SUMIF('Base de Datos'!$AJ$3:$AJ$80, C63, 'Base de Datos'!$AR$3:$AR$80)</f>
        <v>0</v>
      </c>
    </row>
    <row r="64">
      <c r="A64" t="str">
        <f>IFERROR(INDEX('Base de Datos'!$D$3:$D$80, MATCH(C64, 'Base de Datos'!$AJ$3:$AJ$80, 0)), "")</f>
        <v>ago-26</v>
      </c>
      <c r="B64" t="str">
        <f>IFERROR(INDEX('Base de Datos'!$L$3:$L$80, MATCH(C64, 'Base de Datos'!$AJ$3:$AJ$80, 0)), "")</f>
        <v>RONATA</v>
      </c>
      <c r="C64" t="str">
        <v>0012-00898</v>
      </c>
      <c r="D64" t="str">
        <f>IFERROR(INDEX('Base de Datos'!$AK$3:$AK$80, MATCH(C64, 'Base de Datos'!$AJ$3:$AJ$80, 0)), "")</f>
        <v>31/8/2026</v>
      </c>
      <c r="E64">
        <f>SUMIF('Base de Datos'!$AJ$3:$AJ$80, C64, 'Base de Datos'!$AP$3:$AP$80)</f>
        <v>1336527.3</v>
      </c>
      <c r="F64">
        <f>SUMIF('Base de Datos'!$AJ$3:$AJ$80, C64, 'Base de Datos'!$AR$3:$AR$80)</f>
        <v>1617198.03</v>
      </c>
    </row>
    <row r="65">
      <c r="A65" t="str">
        <f>IFERROR(INDEX('Base de Datos'!$D$3:$D$80, MATCH(C65, 'Base de Datos'!$AJ$3:$AJ$80, 0)), "")</f>
        <v>ago-26</v>
      </c>
      <c r="B65" t="str">
        <f>IFERROR(INDEX('Base de Datos'!$L$3:$L$80, MATCH(C65, 'Base de Datos'!$AJ$3:$AJ$80, 0)), "")</f>
        <v>ABIC</v>
      </c>
      <c r="C65" t="str">
        <v>12-5223</v>
      </c>
      <c r="D65" t="str">
        <f>IFERROR(INDEX('Base de Datos'!$AK$3:$AK$80, MATCH(C65, 'Base de Datos'!$AJ$3:$AJ$80, 0)), "")</f>
        <v>8/8/2026</v>
      </c>
      <c r="E65">
        <f>SUMIF('Base de Datos'!$AJ$3:$AJ$80, C65, 'Base de Datos'!$AP$3:$AP$80)</f>
        <v>578544</v>
      </c>
      <c r="F65">
        <f>SUMIF('Base de Datos'!$AJ$3:$AJ$80, C65, 'Base de Datos'!$AR$3:$AR$80)</f>
        <v>700038.24</v>
      </c>
    </row>
    <row r="66">
      <c r="A66" t="str">
        <f>IFERROR(INDEX('Base de Datos'!$D$3:$D$80, MATCH(C66, 'Base de Datos'!$AJ$3:$AJ$80, 0)), "")</f>
        <v>ago-26</v>
      </c>
      <c r="B66" t="str">
        <f>IFERROR(INDEX('Base de Datos'!$L$3:$L$80, MATCH(C66, 'Base de Datos'!$AJ$3:$AJ$80, 0)), "")</f>
        <v>ABIC</v>
      </c>
      <c r="C66" t="str">
        <v>12-5231</v>
      </c>
      <c r="D66" t="str">
        <f>IFERROR(INDEX('Base de Datos'!$AK$3:$AK$80, MATCH(C66, 'Base de Datos'!$AJ$3:$AJ$80, 0)), "")</f>
        <v>17/8/2026</v>
      </c>
      <c r="E66">
        <f>SUMIF('Base de Datos'!$AJ$3:$AJ$80, C66, 'Base de Datos'!$AP$3:$AP$80)</f>
        <v>964240</v>
      </c>
      <c r="F66">
        <f>SUMIF('Base de Datos'!$AJ$3:$AJ$80, C66, 'Base de Datos'!$AR$3:$AR$80)</f>
        <v>1166730.4</v>
      </c>
    </row>
    <row r="67">
      <c r="A67" t="str">
        <f>IFERROR(INDEX('Base de Datos'!$D$3:$D$80, MATCH(C67, 'Base de Datos'!$AJ$3:$AJ$80, 0)), "")</f>
        <v>ago-26</v>
      </c>
      <c r="B67" t="str">
        <f>IFERROR(INDEX('Base de Datos'!$L$3:$L$80, MATCH(C67, 'Base de Datos'!$AJ$3:$AJ$80, 0)), "")</f>
        <v>ABIC</v>
      </c>
      <c r="C67" t="str">
        <v>12-5234</v>
      </c>
      <c r="D67" t="str">
        <f>IFERROR(INDEX('Base de Datos'!$AK$3:$AK$80, MATCH(C67, 'Base de Datos'!$AJ$3:$AJ$80, 0)), "")</f>
        <v>24/8/2026</v>
      </c>
      <c r="E67">
        <f>SUMIF('Base de Datos'!$AJ$3:$AJ$80, C67, 'Base de Datos'!$AP$3:$AP$80)</f>
        <v>385696</v>
      </c>
      <c r="F67">
        <f>SUMIF('Base de Datos'!$AJ$3:$AJ$80, C67, 'Base de Datos'!$AR$3:$AR$80)</f>
        <v>466692.16</v>
      </c>
    </row>
    <row r="68">
      <c r="A68" t="str">
        <f>IFERROR(INDEX('Base de Datos'!$D$3:$D$80, MATCH(C68, 'Base de Datos'!$AJ$3:$AJ$80, 0)), "")</f>
        <v>ago-26</v>
      </c>
      <c r="B68" t="str">
        <f>IFERROR(INDEX('Base de Datos'!$L$3:$L$80, MATCH(C68, 'Base de Datos'!$AJ$3:$AJ$80, 0)), "")</f>
        <v>ABIC</v>
      </c>
      <c r="C68" t="str">
        <v>12-5245</v>
      </c>
      <c r="D68" t="str">
        <f>IFERROR(INDEX('Base de Datos'!$AK$3:$AK$80, MATCH(C68, 'Base de Datos'!$AJ$3:$AJ$80, 0)), "")</f>
        <v>27/8/2026</v>
      </c>
      <c r="E68">
        <f>SUMIF('Base de Datos'!$AJ$3:$AJ$80, C68, 'Base de Datos'!$AP$3:$AP$80)</f>
        <v>578544</v>
      </c>
      <c r="F68">
        <f>SUMIF('Base de Datos'!$AJ$3:$AJ$80, C68, 'Base de Datos'!$AR$3:$AR$80)</f>
        <v>700038.24</v>
      </c>
    </row>
    <row r="69">
      <c r="A69" t="str">
        <f>IFERROR(INDEX('Base de Datos'!$D$3:$D$80, MATCH(C69, 'Base de Datos'!$AJ$3:$AJ$80, 0)), "")</f>
        <v>ago-26</v>
      </c>
      <c r="B69" t="str">
        <f>IFERROR(INDEX('Base de Datos'!$L$3:$L$80, MATCH(C69, 'Base de Datos'!$AJ$3:$AJ$80, 0)), "")</f>
        <v>PUCARA</v>
      </c>
      <c r="C69" t="str">
        <v>12-5225</v>
      </c>
      <c r="D69" t="str">
        <f>IFERROR(INDEX('Base de Datos'!$AK$3:$AK$80, MATCH(C69, 'Base de Datos'!$AJ$3:$AJ$80, 0)), "")</f>
        <v>10/8/2026</v>
      </c>
      <c r="E69">
        <f>SUMIF('Base de Datos'!$AJ$3:$AJ$80, C69, 'Base de Datos'!$AP$3:$AP$80)</f>
        <v>157225</v>
      </c>
      <c r="F69">
        <f>SUMIF('Base de Datos'!$AJ$3:$AJ$80, C69, 'Base de Datos'!$AR$3:$AR$80)</f>
        <v>190242.25</v>
      </c>
    </row>
    <row r="70">
      <c r="A70" t="str">
        <f>IFERROR(INDEX('Base de Datos'!$D$3:$D$80, MATCH(C70, 'Base de Datos'!$AJ$3:$AJ$80, 0)), "")</f>
        <v>ago-26</v>
      </c>
      <c r="B70" t="str">
        <f>IFERROR(INDEX('Base de Datos'!$L$3:$L$80, MATCH(C70, 'Base de Datos'!$AJ$3:$AJ$80, 0)), "")</f>
        <v>PUCARA</v>
      </c>
      <c r="C70" t="str">
        <v>12-5246</v>
      </c>
      <c r="D70" t="str">
        <f>IFERROR(INDEX('Base de Datos'!$AK$3:$AK$80, MATCH(C70, 'Base de Datos'!$AJ$3:$AJ$80, 0)), "")</f>
        <v>27/8/2026</v>
      </c>
      <c r="E70">
        <f>SUMIF('Base de Datos'!$AJ$3:$AJ$80, C70, 'Base de Datos'!$AP$3:$AP$80)</f>
        <v>321100</v>
      </c>
      <c r="F70">
        <f>SUMIF('Base de Datos'!$AJ$3:$AJ$80, C70, 'Base de Datos'!$AR$3:$AR$80)</f>
        <v>388531</v>
      </c>
    </row>
    <row r="71">
      <c r="A71" t="str">
        <f>IFERROR(INDEX('Base de Datos'!$D$3:$D$80, MATCH(C71, 'Base de Datos'!$AJ$3:$AJ$80, 0)), "")</f>
        <v>ago-26</v>
      </c>
      <c r="B71" t="str">
        <f>IFERROR(INDEX('Base de Datos'!$L$3:$L$80, MATCH(C71, 'Base de Datos'!$AJ$3:$AJ$80, 0)), "")</f>
        <v>DALMASO - RONATA</v>
      </c>
      <c r="C71" t="str">
        <v>Dalmaso</v>
      </c>
      <c r="D71" t="str">
        <f>IFERROR(INDEX('Base de Datos'!$AK$3:$AK$80, MATCH(C71, 'Base de Datos'!$AJ$3:$AJ$80, 0)), "")</f>
        <v>30+L9:P42/11/2019</v>
      </c>
      <c r="E71">
        <f>SUMIF('Base de Datos'!$AJ$3:$AJ$80, C71, 'Base de Datos'!$AP$3:$AP$80)</f>
        <v>0</v>
      </c>
      <c r="F71">
        <f>SUMIF('Base de Datos'!$AJ$3:$AJ$80, C71, 'Base de Datos'!$AR$3:$AR$80)</f>
        <v>0</v>
      </c>
    </row>
    <row r="72">
      <c r="A72" t="str">
        <f>IFERROR(INDEX('Base de Datos'!$D$3:$D$80, MATCH(C72, 'Base de Datos'!$AJ$3:$AJ$80, 0)), "")</f>
        <v>ago-26</v>
      </c>
      <c r="B72" t="str">
        <f>IFERROR(INDEX('Base de Datos'!$L$3:$L$80, MATCH(C72, 'Base de Datos'!$AJ$3:$AJ$80, 0)), "")</f>
        <v>GRANJA SAN JUAN</v>
      </c>
      <c r="C72" t="str">
        <v>12-5233</v>
      </c>
      <c r="D72" t="str">
        <f>IFERROR(INDEX('Base de Datos'!$AK$3:$AK$80, MATCH(C72, 'Base de Datos'!$AJ$3:$AJ$80, 0)), "")</f>
        <v>17/8/2026</v>
      </c>
      <c r="E72">
        <f>SUMIF('Base de Datos'!$AJ$3:$AJ$80, C72, 'Base de Datos'!$AP$3:$AP$80)</f>
        <v>317700</v>
      </c>
      <c r="F72">
        <f>SUMIF('Base de Datos'!$AJ$3:$AJ$80, C72, 'Base de Datos'!$AR$3:$AR$80)</f>
        <v>384417</v>
      </c>
    </row>
    <row r="73">
      <c r="A73" t="str">
        <f>IFERROR(INDEX('Base de Datos'!$D$3:$D$80, MATCH(C73, 'Base de Datos'!$AJ$3:$AJ$80, 0)), "")</f>
        <v>ago-26</v>
      </c>
      <c r="B73" t="str">
        <f>IFERROR(INDEX('Base de Datos'!$L$3:$L$80, MATCH(C73, 'Base de Datos'!$AJ$3:$AJ$80, 0)), "")</f>
        <v>GRANJA SAN JUAN</v>
      </c>
      <c r="C73" t="str">
        <v>12-5236</v>
      </c>
      <c r="D73" t="str">
        <f>IFERROR(INDEX('Base de Datos'!$AK$3:$AK$80, MATCH(C73, 'Base de Datos'!$AJ$3:$AJ$80, 0)), "")</f>
        <v>24/8/2026</v>
      </c>
      <c r="E73">
        <f>SUMIF('Base de Datos'!$AJ$3:$AJ$80, C73, 'Base de Datos'!$AP$3:$AP$80)</f>
        <v>931140</v>
      </c>
      <c r="F73">
        <f>SUMIF('Base de Datos'!$AJ$3:$AJ$80, C73, 'Base de Datos'!$AR$3:$AR$80)</f>
        <v>1126679.4</v>
      </c>
    </row>
    <row r="74">
      <c r="A74" t="str">
        <f>IFERROR(INDEX('Base de Datos'!$D$3:$D$80, MATCH(C74, 'Base de Datos'!$AJ$3:$AJ$80, 0)), "")</f>
        <v>ago-26</v>
      </c>
      <c r="B74" t="str">
        <f>IFERROR(INDEX('Base de Datos'!$L$3:$L$80, MATCH(C74, 'Base de Datos'!$AJ$3:$AJ$80, 0)), "")</f>
        <v>GLOBE</v>
      </c>
      <c r="C74" t="str">
        <v>12-5235</v>
      </c>
      <c r="D74" t="str">
        <f>IFERROR(INDEX('Base de Datos'!$AK$3:$AK$80, MATCH(C74, 'Base de Datos'!$AJ$3:$AJ$80, 0)), "")</f>
        <v>24/8/2026</v>
      </c>
      <c r="E74">
        <f>SUMIF('Base de Datos'!$AJ$3:$AJ$80, C74, 'Base de Datos'!$AP$3:$AP$80)</f>
        <v>208610</v>
      </c>
      <c r="F74">
        <f>SUMIF('Base de Datos'!$AJ$3:$AJ$80, C74, 'Base de Datos'!$AR$3:$AR$80)</f>
        <v>252418.1</v>
      </c>
    </row>
    <row r="75">
      <c r="A75" t="str">
        <v>TOTAL GENERAL COMPROBANTES EMITIDOS</v>
      </c>
      <c r="B75" t="str">
        <v/>
      </c>
      <c r="C75" t="str">
        <v>40 Comprobantes</v>
      </c>
      <c r="D75" t="str">
        <v/>
      </c>
      <c r="E75">
        <f>SUM(E35:E74)</f>
        <v>23301437.060000002</v>
      </c>
      <c r="F75">
        <f>SUM(F35:F74)</f>
        <v>28194738.839999996</v>
      </c>
    </row>
    <row r="77">
      <c r="A77" t="str">
        <v>TRAZABILIDAD Y FÓRMULAS DE CÁLCULO (INFORME ADMINISTRATIVO)</v>
      </c>
    </row>
    <row r="78">
      <c r="A78" t="str">
        <v>1. Fuente de información: Hoja 1 del libro, identificada como 'Base de Datos' (Sector 1 al Sector 10).</v>
      </c>
    </row>
    <row r="79">
      <c r="A79" t="str">
        <v>2. Fecha Liqui Fleteros: Sector 1 (Col D) | Fórmula: =SI.ERROR(INDICE('Base de Datos'!D:D; COINCIDIR(FAC; 'Base de Datos'!AJ:AJ; 0)); "")</v>
      </c>
    </row>
    <row r="80">
      <c r="A80" t="str">
        <v>3. Cliente Contrata Servicio: Sector 3 (Col L) | Agrupación DEBE: =SUMAR.SI('Base de Datos'!L:L; Cliente; 'Base de Datos'!AR:AR)</v>
      </c>
    </row>
    <row r="81">
      <c r="A81" t="str">
        <v>4. FAC (Factura): Sector 6 (Col AJ) | Comprobante para correlatividad y detección de discontinuidades.</v>
      </c>
    </row>
    <row r="82">
      <c r="A82" t="str">
        <v>5. Fecha Fac. BSA: Sector 6 (Col AK) | Emisión del comprobante en el sistema para ordenamiento cronológico.</v>
      </c>
    </row>
    <row r="83">
      <c r="A83" t="str">
        <v>6. NG. (Neto Gravado): Sector 6 (Col AP) | Fórmula: =SUMAR.SI('Base de Datos'!AJ:AJ; FAC; 'Base de Datos'!AP:AP)</v>
      </c>
    </row>
    <row r="84">
      <c r="A84" t="str">
        <v>7. DEBE. (Total c/IVA): Sector 6 (Col AR) | Fórmula: =SUMAR.SI('Base de Datos'!AJ:AJ; FAC; 'Base de Datos'!AR:AR)</v>
      </c>
    </row>
    <row r="85">
      <c r="A85" t="str">
        <v>8. Consistencia contable verificada: Total DEBE $28.194.738,84 coincidente al 100% con los registros de origen.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de Datos</vt:lpstr>
      <vt:lpstr>Control Doc Pendiente</vt:lpstr>
      <vt:lpstr>Rendimiento Choferes</vt:lpstr>
      <vt:lpstr>Resumen Clientes</vt:lpstr>
      <vt:lpstr>Control Facturas Emitidas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